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8" documentId="8_{B96018D8-DE5F-4E85-AA31-98D2E2DE2118}" xr6:coauthVersionLast="47" xr6:coauthVersionMax="47" xr10:uidLastSave="{C931DD41-88D8-429E-877A-96437234049F}"/>
  <bookViews>
    <workbookView xWindow="-108" yWindow="-108" windowWidth="23256" windowHeight="13896" activeTab="2"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DIECISEISAVOS!$I$2:$AB$37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 i="10" l="1"/>
  <c r="W2" i="10"/>
  <c r="I2" i="10"/>
  <c r="M2" i="10"/>
  <c r="P2" i="10"/>
  <c r="R2" i="10"/>
  <c r="K2" i="10"/>
  <c r="AB2" i="10"/>
  <c r="S2" i="10"/>
  <c r="L2" i="10"/>
  <c r="T2" i="10"/>
  <c r="AA2" i="10"/>
  <c r="U2" i="10"/>
  <c r="Y2" i="10"/>
  <c r="O2" i="10"/>
  <c r="Q2" i="10"/>
  <c r="X2" i="10"/>
  <c r="J2" i="10"/>
  <c r="Z2" i="10"/>
  <c r="N2" i="10"/>
  <c r="V2" i="10"/>
  <c r="AA36" i="10"/>
  <c r="T36" i="10"/>
  <c r="L36" i="10"/>
  <c r="S36" i="10"/>
  <c r="AB36" i="10"/>
  <c r="K36" i="10"/>
  <c r="R36" i="10"/>
  <c r="P36" i="10"/>
  <c r="M36" i="10"/>
  <c r="I36" i="10"/>
  <c r="W36" i="10"/>
  <c r="I152" i="3"/>
  <c r="AD6" i="3"/>
  <c r="T6" i="3"/>
  <c r="AJ6" i="3"/>
  <c r="M6" i="3"/>
  <c r="AD7" i="3"/>
  <c r="T7" i="3"/>
  <c r="AJ7" i="3"/>
  <c r="M7" i="3"/>
  <c r="AD152" i="3"/>
  <c r="T152" i="3"/>
  <c r="AJ152" i="3"/>
  <c r="M152" i="3"/>
  <c r="X6" i="3" l="1"/>
  <c r="U6" i="3"/>
  <c r="V6" i="3"/>
  <c r="X7" i="3"/>
  <c r="U7" i="3"/>
  <c r="V7" i="3"/>
  <c r="X152" i="3"/>
  <c r="U152" i="3"/>
  <c r="V152" i="3"/>
  <c r="J6" i="3"/>
  <c r="J7" i="3"/>
  <c r="J152" i="3"/>
  <c r="AI6" i="3"/>
  <c r="AA6" i="3" l="1"/>
  <c r="AO6" i="3"/>
  <c r="AF6" i="3"/>
  <c r="R6" i="3"/>
  <c r="Q6" i="3"/>
  <c r="P6" i="3"/>
  <c r="N6" i="3"/>
  <c r="L6" i="3"/>
  <c r="O6" i="3"/>
  <c r="AR6" i="3"/>
  <c r="S6" i="3"/>
  <c r="AN6" i="3"/>
  <c r="AH6" i="3"/>
  <c r="W6" i="3"/>
  <c r="AS6" i="3"/>
  <c r="AG6" i="3"/>
  <c r="AL6" i="3"/>
  <c r="AP6" i="3"/>
  <c r="AQ6" i="3"/>
  <c r="AK6" i="3"/>
  <c r="AM6" i="3"/>
  <c r="AB6" i="3"/>
  <c r="K6" i="3"/>
  <c r="AC6" i="3"/>
  <c r="AE6" i="3"/>
  <c r="Z6" i="3"/>
  <c r="Y6" i="3"/>
  <c r="AT6" i="3"/>
  <c r="AA7" i="3"/>
  <c r="AO7" i="3"/>
  <c r="AF7" i="3"/>
  <c r="R7" i="3"/>
  <c r="Q7" i="3"/>
  <c r="P7" i="3"/>
  <c r="N7" i="3"/>
  <c r="L7" i="3"/>
  <c r="O7" i="3"/>
  <c r="AR7" i="3"/>
  <c r="S7" i="3"/>
  <c r="AN7" i="3"/>
  <c r="AH7" i="3"/>
  <c r="W7" i="3"/>
  <c r="AS7" i="3"/>
  <c r="AG7" i="3"/>
  <c r="AL7" i="3"/>
  <c r="AP7" i="3"/>
  <c r="AQ7" i="3"/>
  <c r="AK7" i="3"/>
  <c r="AM7" i="3"/>
  <c r="AB7" i="3"/>
  <c r="K7" i="3"/>
  <c r="AC7" i="3"/>
  <c r="AE7" i="3"/>
  <c r="Z7" i="3"/>
  <c r="Y7" i="3"/>
  <c r="AT7" i="3"/>
  <c r="AI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Y152" i="3"/>
  <c r="Z152" i="3"/>
  <c r="AE152" i="3"/>
  <c r="AC152" i="3"/>
  <c r="K152" i="3"/>
  <c r="AB152" i="3"/>
  <c r="AM152" i="3"/>
  <c r="AK152" i="3"/>
  <c r="AQ152" i="3"/>
  <c r="AP152" i="3"/>
  <c r="AL152" i="3"/>
  <c r="AG152" i="3"/>
  <c r="AS152" i="3"/>
  <c r="W152" i="3"/>
  <c r="AH152" i="3"/>
  <c r="AN152" i="3"/>
  <c r="S152" i="3"/>
  <c r="AR152" i="3"/>
  <c r="O152" i="3"/>
  <c r="L152" i="3"/>
  <c r="N152" i="3"/>
  <c r="P152" i="3"/>
  <c r="Q152" i="3"/>
  <c r="R152" i="3"/>
  <c r="AF152" i="3"/>
  <c r="AO152" i="3"/>
  <c r="AI152" i="3"/>
  <c r="AA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Z36" i="10"/>
  <c r="J36" i="10"/>
  <c r="X36" i="10"/>
  <c r="Q36" i="10"/>
  <c r="O36" i="10"/>
  <c r="Y36" i="10"/>
  <c r="U36" i="10"/>
  <c r="N36" i="10"/>
  <c r="V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B3" i="10" l="1"/>
  <c r="K3" i="10"/>
  <c r="R3" i="10"/>
  <c r="P3" i="10"/>
  <c r="M3" i="10"/>
  <c r="W3" i="10"/>
  <c r="AA3" i="10"/>
  <c r="T3" i="10"/>
  <c r="L3" i="10"/>
  <c r="S3" i="10"/>
  <c r="R40" i="10"/>
  <c r="S41" i="10"/>
  <c r="T41" i="10"/>
  <c r="T39" i="10"/>
  <c r="V40" i="10"/>
  <c r="S40" i="10"/>
  <c r="R39" i="10"/>
  <c r="T40" i="10"/>
  <c r="U41" i="10"/>
  <c r="S39" i="10"/>
  <c r="U40" i="10"/>
  <c r="V41" i="10"/>
  <c r="R38" i="10"/>
  <c r="W41" i="10"/>
  <c r="U39" i="10"/>
  <c r="W40" i="10"/>
  <c r="X41" i="10"/>
  <c r="W39" i="10"/>
  <c r="Y40" i="10"/>
  <c r="Z41" i="10"/>
  <c r="X39" i="10"/>
  <c r="Z40" i="10"/>
  <c r="AA41" i="10"/>
  <c r="AB39" i="10"/>
  <c r="V39" i="10"/>
  <c r="X40" i="10"/>
  <c r="Y41" i="10"/>
  <c r="Y39" i="10"/>
  <c r="AB41" i="10"/>
  <c r="AB40" i="10"/>
  <c r="Y38" i="10"/>
  <c r="R41" i="10"/>
  <c r="AA40" i="10"/>
  <c r="AA39" i="10"/>
  <c r="X38" i="10"/>
  <c r="W38" i="10"/>
  <c r="V38" i="10"/>
  <c r="U38" i="10"/>
  <c r="T38" i="10"/>
  <c r="S38" i="10"/>
  <c r="AB38" i="10"/>
  <c r="AA38" i="10"/>
  <c r="Z38" i="10"/>
  <c r="Z39" i="10"/>
  <c r="T5" i="3"/>
  <c r="AJ5" i="3"/>
  <c r="M5" i="3"/>
  <c r="AD5" i="3"/>
  <c r="X5" i="3"/>
  <c r="U5" i="3"/>
  <c r="V5" i="3"/>
  <c r="J5" i="3"/>
  <c r="AA5" i="3"/>
  <c r="AO5" i="3"/>
  <c r="AF5" i="3"/>
  <c r="AM5" i="3"/>
  <c r="R5" i="3"/>
  <c r="Q5" i="3"/>
  <c r="P5" i="3"/>
  <c r="N5" i="3"/>
  <c r="L5" i="3"/>
  <c r="O5" i="3"/>
  <c r="AR5" i="3"/>
  <c r="S5" i="3"/>
  <c r="AN5" i="3"/>
  <c r="AC5" i="3"/>
  <c r="AH5" i="3"/>
  <c r="AE5" i="3"/>
  <c r="W5" i="3"/>
  <c r="Z5" i="3"/>
  <c r="AS5" i="3"/>
  <c r="Y5" i="3"/>
  <c r="AG5" i="3"/>
  <c r="AT5" i="3"/>
  <c r="AL5" i="3"/>
  <c r="AP5" i="3"/>
  <c r="AQ5" i="3"/>
  <c r="AK5" i="3"/>
  <c r="AB5" i="3"/>
  <c r="K5" i="3"/>
  <c r="AI5" i="3"/>
  <c r="I3" i="13"/>
  <c r="I16" i="13"/>
  <c r="J14" i="13"/>
  <c r="J3" i="13"/>
  <c r="K14" i="13"/>
  <c r="L14" i="13"/>
  <c r="L3" i="13"/>
  <c r="Z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V3" i="10"/>
  <c r="N3" i="10"/>
  <c r="U3" i="10"/>
  <c r="Y3" i="10"/>
  <c r="O3" i="10"/>
  <c r="Q3" i="10"/>
  <c r="X3" i="10"/>
  <c r="J3" i="10"/>
  <c r="Q38" i="10"/>
  <c r="J38" i="10"/>
  <c r="L38" i="10"/>
  <c r="O38" i="10"/>
  <c r="I38" i="10"/>
  <c r="N38" i="10"/>
  <c r="P38" i="10"/>
  <c r="K38" i="10"/>
  <c r="M38" i="10"/>
  <c r="O39" i="10"/>
  <c r="I40" i="10"/>
  <c r="O41" i="10"/>
  <c r="P39" i="10"/>
  <c r="J40" i="10"/>
  <c r="P41" i="10"/>
  <c r="Q39" i="10"/>
  <c r="K40" i="10"/>
  <c r="Q41" i="10"/>
  <c r="L40" i="10"/>
  <c r="M40" i="10"/>
  <c r="N40" i="10"/>
  <c r="I39" i="10"/>
  <c r="O40" i="10"/>
  <c r="I41" i="10"/>
  <c r="J39" i="10"/>
  <c r="P40" i="10"/>
  <c r="J41" i="10"/>
  <c r="K39" i="10"/>
  <c r="Q40" i="10"/>
  <c r="K41" i="10"/>
  <c r="L39" i="10"/>
  <c r="L41" i="10"/>
  <c r="M39" i="10"/>
  <c r="M41" i="10"/>
  <c r="N39" i="10"/>
  <c r="N41" i="10"/>
  <c r="S37" i="10" l="1"/>
  <c r="AB37" i="10"/>
  <c r="AA37" i="10"/>
  <c r="R37" i="10"/>
  <c r="M37" i="10"/>
  <c r="P37" i="10"/>
  <c r="I37" i="10"/>
  <c r="W37" i="10"/>
  <c r="T37" i="10"/>
  <c r="L37" i="10"/>
  <c r="K37" i="10"/>
  <c r="N13" i="12"/>
  <c r="L13" i="12"/>
  <c r="K13" i="12"/>
  <c r="M13" i="12"/>
  <c r="I13" i="12"/>
  <c r="Q37" i="10"/>
  <c r="K13" i="13"/>
  <c r="N21" i="11"/>
  <c r="I21" i="11"/>
  <c r="O21" i="11"/>
  <c r="I13" i="13"/>
  <c r="J37" i="10"/>
  <c r="O37" i="10"/>
  <c r="U37" i="10"/>
  <c r="Z37" i="10"/>
  <c r="N37" i="10"/>
  <c r="X37" i="10"/>
  <c r="Y37" i="10"/>
  <c r="V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T4" i="3" l="1"/>
  <c r="T3" i="3" s="1"/>
  <c r="AJ4" i="3"/>
  <c r="AJ3" i="3" s="1"/>
  <c r="M4" i="3"/>
  <c r="M3" i="3" s="1"/>
  <c r="AD4" i="3"/>
  <c r="AD3" i="3" s="1"/>
  <c r="J4" i="3"/>
  <c r="J3" i="3" s="1"/>
  <c r="X4" i="3"/>
  <c r="X3" i="3" s="1"/>
  <c r="V4" i="3"/>
  <c r="V3" i="3" s="1"/>
  <c r="U4" i="3"/>
  <c r="U3" i="3" s="1"/>
  <c r="P4" i="3"/>
  <c r="P3" i="3" s="1"/>
  <c r="AP4" i="3"/>
  <c r="AP3" i="3" s="1"/>
  <c r="N4" i="3"/>
  <c r="N3" i="3" s="1"/>
  <c r="AQ4" i="3"/>
  <c r="AQ3" i="3" s="1"/>
  <c r="L4" i="3"/>
  <c r="L3" i="3" s="1"/>
  <c r="AK4" i="3"/>
  <c r="AK3" i="3" s="1"/>
  <c r="AM4" i="3"/>
  <c r="AM3" i="3" s="1"/>
  <c r="AB4" i="3"/>
  <c r="AB3" i="3" s="1"/>
  <c r="Q4" i="3"/>
  <c r="Q3" i="3" s="1"/>
  <c r="O4" i="3"/>
  <c r="O3" i="3" s="1"/>
  <c r="AR4" i="3"/>
  <c r="AR3" i="3" s="1"/>
  <c r="S4" i="3"/>
  <c r="S3" i="3" s="1"/>
  <c r="K4" i="3"/>
  <c r="K3" i="3" s="1"/>
  <c r="AI4" i="3"/>
  <c r="AI3" i="3" s="1"/>
  <c r="AN4" i="3"/>
  <c r="AN3" i="3" s="1"/>
  <c r="AC4" i="3"/>
  <c r="AC3" i="3" s="1"/>
  <c r="Y4" i="3"/>
  <c r="Y3" i="3" s="1"/>
  <c r="AA4" i="3"/>
  <c r="AA3" i="3" s="1"/>
  <c r="AH4" i="3"/>
  <c r="AH3" i="3" s="1"/>
  <c r="AE4" i="3"/>
  <c r="AE3" i="3" s="1"/>
  <c r="AF4" i="3"/>
  <c r="AF3" i="3" s="1"/>
  <c r="AG4" i="3"/>
  <c r="AG3" i="3" s="1"/>
  <c r="AO4" i="3"/>
  <c r="AO3" i="3" s="1"/>
  <c r="W4" i="3"/>
  <c r="W3" i="3" s="1"/>
  <c r="Z4" i="3"/>
  <c r="Z3" i="3" s="1"/>
  <c r="AS4" i="3"/>
  <c r="AS3" i="3" s="1"/>
  <c r="R4" i="3"/>
  <c r="R3" i="3" s="1"/>
  <c r="AL4" i="3"/>
  <c r="AL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X153" i="3" l="1"/>
  <c r="AD153" i="3"/>
  <c r="U153" i="3"/>
  <c r="T153" i="3"/>
  <c r="J153" i="3"/>
  <c r="AJ153" i="3"/>
  <c r="M153" i="3"/>
  <c r="V153" i="3"/>
  <c r="AN153" i="3"/>
  <c r="W153" i="3"/>
  <c r="AH153" i="3"/>
  <c r="AQ153" i="3"/>
  <c r="S153" i="3"/>
  <c r="AT153" i="3"/>
  <c r="AP153" i="3"/>
  <c r="AA153" i="3"/>
  <c r="AL153" i="3"/>
  <c r="K153" i="3"/>
  <c r="AI153" i="3"/>
  <c r="P153" i="3"/>
  <c r="AS153" i="3"/>
  <c r="AB153" i="3"/>
  <c r="AM153" i="3"/>
  <c r="AO153" i="3"/>
  <c r="AR153" i="3"/>
  <c r="Q153" i="3"/>
  <c r="AF153" i="3"/>
  <c r="AC153" i="3"/>
  <c r="R153" i="3"/>
  <c r="AE153" i="3"/>
  <c r="AG153" i="3"/>
  <c r="L153" i="3"/>
  <c r="Z153" i="3"/>
  <c r="N153" i="3"/>
  <c r="AK153" i="3"/>
  <c r="Y153" i="3"/>
  <c r="O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<sst xmlns="http://schemas.openxmlformats.org/spreadsheetml/2006/main" count="4524" uniqueCount="148">
  <si>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</si>
  <si>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</si>
  <si>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</si>
  <si>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</si>
  <si>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</si>
  <si>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</si>
  <si>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</si>
  <si>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</si>
  <si>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</si>
  <si>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</si>
  <si>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</si>
  <si>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</si>
  <si>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</si>
  <si>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</si>
  <si>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</si>
  <si>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</si>
  <si>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</si>
  <si>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</si>
  <si>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</si>
  <si>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</si>
  <si>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</si>
  <si>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</si>
  <si>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</si>
  <si>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</si>
  <si>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</si>
  <si>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</si>
  <si>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</si>
  <si>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</si>
  <si>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</si>
  <si>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</si>
  <si>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</si>
  <si>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</si>
  <si>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</si>
  <si>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</si>
  <si>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</si>
  <si>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</si>
  <si>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</si>
  <si>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</si>
  <si>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</si>
  <si>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</si>
  <si>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</si>
  <si>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</si>
  <si>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</si>
  <si>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</si>
  <si>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</si>
  <si>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</si>
  <si>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</si>
  <si>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</si>
  <si>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</si>
  <si>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</si>
  <si>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</si>
  <si>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</si>
  <si>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</si>
  <si>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</si>
  <si>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</si>
  <si>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</si>
  <si>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</si>
  <si>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</si>
  <si>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</si>
  <si>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</si>
  <si>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</si>
  <si>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</si>
  <si>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</si>
  <si>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</si>
  <si>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</si>
  <si>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</si>
  <si>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</si>
  <si>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</si>
  <si>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</si>
  <si>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</si>
  <si>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</si>
  <si>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</si>
  <si>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</si>
  <si>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</si>
  <si>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</si>
  <si>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</si>
  <si>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</si>
  <si>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</si>
  <si>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</si>
  <si>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</si>
  <si>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</si>
  <si>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</si>
  <si>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</si>
  <si>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</si>
  <si>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</si>
  <si>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</si>
  <si>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</si>
  <si>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</si>
  <si>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</si>
  <si>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</si>
  <si>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</si>
  <si>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</si>
  <si>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</si>
  <si>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</si>
  <si>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</si>
  <si>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</si>
  <si>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</si>
  <si>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</si>
  <si>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</si>
  <si>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</si>
  <si>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</si>
  <si>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</si>
  <si>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</si>
  <si>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</si>
  <si>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</si>
  <si>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</si>
  <si>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</si>
  <si>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</si>
  <si>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</si>
  <si>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</si>
  <si>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</si>
  <si>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</si>
  <si>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</si>
  <si>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</si>
  <si>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</si>
  <si>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</si>
  <si>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</si>
  <si>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</si>
  <si>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</si>
  <si>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</si>
  <si>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</si>
  <si>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</si>
  <si>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</si>
  <si>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</si>
  <si>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</si>
  <si>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</si>
  <si>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</si>
  <si>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</si>
  <si>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</si>
  <si>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</si>
  <si>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</si>
  <si>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</si>
  <si>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</si>
  <si>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</si>
  <si>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</si>
  <si>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</si>
  <si>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</si>
  <si>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</si>
  <si>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</si>
  <si>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</si>
  <si>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</si>
  <si>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</si>
  <si>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</si>
  <si>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</si>
  <si>
    <t>SUDÁFRICA</t>
  </si>
  <si>
    <t>CANADÁ</t>
  </si>
  <si>
    <t>MÉXICO</t>
  </si>
  <si>
    <t>R.D. CONGO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</si>
</sst>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3"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
      <b/>
      <sz val="9"/>
      <color theme="1"/>
      <name val="Calibri"/>
      <family val="2"/>
      <scheme val="minor"/>
    </font>
  </fonts>
  <fills count="18">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
      <patternFill patternType="solid">
        <fgColor theme="9" tint="-0.249977111117893"/>
        <bgColor indexed="64"/>
      </patternFill>
    </fill>
    <fill>
      <patternFill patternType="solid">
        <fgColor theme="7"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72">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0" fillId="9" borderId="39"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10" fillId="10" borderId="20" xfId="0" applyFont="1" applyFill="1" applyBorder="1" applyAlignment="1" applyProtection="1">
      <alignment horizontal="center" vertical="center" textRotation="255" wrapText="1"/>
      <protection hidden="1"/>
    </xf>
    <xf numFmtId="0" fontId="10" fillId="14" borderId="19" xfId="0" applyFont="1" applyFill="1" applyBorder="1" applyAlignment="1" applyProtection="1">
      <alignment horizontal="center" vertical="center" textRotation="255" wrapText="1"/>
      <protection hidden="1"/>
    </xf>
    <xf numFmtId="0" fontId="10" fillId="17" borderId="19" xfId="0" applyFont="1" applyFill="1" applyBorder="1" applyAlignment="1" applyProtection="1">
      <alignment horizontal="center" vertical="center" textRotation="255" wrapText="1"/>
      <protection hidden="1"/>
    </xf>
    <xf numFmtId="0" fontId="10" fillId="16" borderId="18" xfId="0" applyFont="1" applyFill="1" applyBorder="1" applyAlignment="1" applyProtection="1">
      <alignment horizontal="center" vertical="center" textRotation="255" wrapText="1"/>
      <protection hidden="1"/>
    </xf>
    <xf numFmtId="0" fontId="10" fillId="16" borderId="18" xfId="0" applyFont="1" applyFill="1" applyBorder="1" applyAlignment="1" applyProtection="1">
      <alignment horizontal="center" vertical="center" textRotation="255" wrapText="1"/>
      <protection locked="0"/>
    </xf>
    <xf numFmtId="0" fontId="10" fillId="17" borderId="18" xfId="0" applyFont="1" applyFill="1" applyBorder="1" applyAlignment="1" applyProtection="1">
      <alignment horizontal="center" vertical="center" textRotation="255" wrapText="1"/>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12" fillId="8" borderId="3" xfId="0" applyFont="1" applyFill="1" applyBorder="1" applyAlignment="1" applyProtection="1">
      <alignment horizontal="center" vertical="center"/>
      <protection hidden="1"/>
    </xf>
    <xf numFmtId="0" fontId="12" fillId="8" borderId="4" xfId="0" applyFont="1"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1" xfId="0"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0" fontId="12" fillId="9" borderId="3" xfId="0" quotePrefix="1" applyFont="1" applyFill="1" applyBorder="1" applyAlignment="1" applyProtection="1">
      <alignment horizontal="center" vertical="center"/>
      <protection hidden="1"/>
    </xf>
    <xf numFmtId="0" fontId="12" fillId="9" borderId="4" xfId="0" applyFont="1" applyFill="1" applyBorder="1" applyAlignment="1" applyProtection="1">
      <alignment horizontal="center" vertical="center"/>
      <protection hidden="1"/>
    </xf>
    <xf numFmtId="0" fontId="12" fillId="9"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12" fillId="8" borderId="3" xfId="0" applyFont="1" applyFill="1" applyBorder="1" applyAlignment="1" applyProtection="1">
      <alignment horizontal="center" vertical="center" wrapText="1"/>
      <protection hidden="1"/>
    </xf>
    <xf numFmtId="0" fontId="12" fillId="8" borderId="4" xfId="0" applyFont="1" applyFill="1" applyBorder="1" applyAlignment="1" applyProtection="1">
      <alignment horizontal="center" vertical="center" wrapText="1"/>
      <protection hidden="1"/>
    </xf>
    <xf numFmtId="0" fontId="12" fillId="9" borderId="3" xfId="0" applyFont="1" applyFill="1" applyBorder="1" applyAlignment="1" applyProtection="1">
      <alignment horizontal="center" vertical="center" wrapText="1"/>
      <protection hidden="1"/>
    </xf>
    <xf numFmtId="0" fontId="12"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2" fillId="5" borderId="0" xfId="0" applyFont="1" applyFill="1" applyAlignment="1" applyProtection="1">
      <alignment horizontal="center" vertical="center" wrapText="1"/>
      <protection hidden="1"/>
    </xf>
    <xf numFmtId="0" fontId="0" fillId="0" borderId="0" xfId="0" applyAlignment="1" applyProtection="1">
      <alignment horizontal="center" vertical="center"/>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202406</xdr:colOff>
      <xdr:row>1</xdr:row>
      <xdr:rowOff>59531</xdr:rowOff>
    </xdr:from>
    <xdr:to>
      <xdr:col>3</xdr:col>
      <xdr:colOff>1250302</xdr:colOff>
      <xdr:row>1</xdr:row>
      <xdr:rowOff>1631375</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3726656" y="535781"/>
          <a:ext cx="1047896"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zoomScale="85" zoomScaleNormal="85" workbookViewId="0">
      <pane xSplit="1" ySplit="3" topLeftCell="B131" activePane="bottomRight" state="frozen"/>
      <selection pane="topRight" activeCell="B1" sqref="B1"/>
      <selection pane="bottomLeft" activeCell="A4" sqref="A4"/>
      <selection pane="bottomRight" activeCell="F136" sqref="F136:F137"/>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46" width="5.33203125" style="2" customWidth="1"/>
    <col min="47" max="52" width="11.44140625" style="2"/>
    <col min="53" max="54" width="11.44140625" style="2" customWidth="1"/>
    <col min="55" max="16384" width="11.44140625" style="2"/>
  </cols>
  <sheetData>
    <row r="1" spans="1:54" ht="37.5" customHeight="1" thickBot="1" x14ac:dyDescent="0.35">
      <c r="A1" s="109" t="s">
        <v>28</v>
      </c>
      <c r="B1" s="109"/>
      <c r="C1" s="109"/>
      <c r="D1" s="109"/>
      <c r="E1" s="109"/>
      <c r="F1" s="109"/>
      <c r="G1" s="109"/>
      <c r="H1" s="109"/>
      <c r="I1" s="10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75</v>
      </c>
      <c r="G2" s="110"/>
      <c r="H2" s="110"/>
      <c r="I2" s="111"/>
      <c r="J2" s="45" t="s">
        <v>137</v>
      </c>
      <c r="K2" s="35" t="s">
        <v>122</v>
      </c>
      <c r="L2" s="36" t="s">
        <v>106</v>
      </c>
      <c r="M2" s="52" t="s">
        <v>143</v>
      </c>
      <c r="N2" s="53" t="s">
        <v>105</v>
      </c>
      <c r="O2" s="36" t="s">
        <v>107</v>
      </c>
      <c r="P2" s="36" t="s">
        <v>114</v>
      </c>
      <c r="Q2" s="36" t="s">
        <v>101</v>
      </c>
      <c r="R2" s="36" t="s">
        <v>100</v>
      </c>
      <c r="S2" s="36" t="s">
        <v>109</v>
      </c>
      <c r="T2" s="36" t="s">
        <v>141</v>
      </c>
      <c r="U2" s="36" t="s">
        <v>139</v>
      </c>
      <c r="V2" s="36" t="s">
        <v>136</v>
      </c>
      <c r="W2" s="36" t="s">
        <v>112</v>
      </c>
      <c r="X2" s="36" t="s">
        <v>138</v>
      </c>
      <c r="Y2" s="36" t="s">
        <v>134</v>
      </c>
      <c r="Z2" s="36" t="s">
        <v>125</v>
      </c>
      <c r="AA2" s="53" t="s">
        <v>97</v>
      </c>
      <c r="AB2" s="98" t="s">
        <v>121</v>
      </c>
      <c r="AC2" s="36" t="s">
        <v>123</v>
      </c>
      <c r="AD2" s="36" t="s">
        <v>140</v>
      </c>
      <c r="AE2" s="36" t="s">
        <v>124</v>
      </c>
      <c r="AF2" s="36" t="s">
        <v>99</v>
      </c>
      <c r="AG2" s="36" t="s">
        <v>120</v>
      </c>
      <c r="AH2" s="52" t="s">
        <v>111</v>
      </c>
      <c r="AI2" s="99" t="s">
        <v>96</v>
      </c>
      <c r="AJ2" s="36" t="s">
        <v>142</v>
      </c>
      <c r="AK2" s="100" t="s">
        <v>118</v>
      </c>
      <c r="AL2" s="36" t="s">
        <v>115</v>
      </c>
      <c r="AM2" s="97" t="s">
        <v>119</v>
      </c>
      <c r="AN2" s="53" t="s">
        <v>110</v>
      </c>
      <c r="AO2" s="53" t="s">
        <v>98</v>
      </c>
      <c r="AP2" s="53" t="s">
        <v>116</v>
      </c>
      <c r="AQ2" s="96" t="s">
        <v>117</v>
      </c>
      <c r="AR2" s="53" t="s">
        <v>108</v>
      </c>
      <c r="AS2" s="36" t="s">
        <v>113</v>
      </c>
      <c r="AT2" s="95" t="s">
        <v>135</v>
      </c>
    </row>
    <row r="3" spans="1:54" ht="28.8" x14ac:dyDescent="0.3">
      <c r="A3" s="58" t="s">
        <v>0</v>
      </c>
      <c r="B3" s="58" t="s">
        <v>73</v>
      </c>
      <c r="C3" s="58" t="s">
        <v>102</v>
      </c>
      <c r="D3" s="58" t="s">
        <v>78</v>
      </c>
      <c r="E3" s="80" t="s">
        <v>5</v>
      </c>
      <c r="F3" s="80" t="s">
        <v>6</v>
      </c>
      <c r="G3" s="165" t="s">
        <v>74</v>
      </c>
      <c r="H3" s="165"/>
      <c r="I3" s="59" t="s">
        <v>8</v>
      </c>
      <c r="J3" s="66">
        <f t="shared" ref="J3:AT3" si="0">SUM(J4+J5)-SUM(J6+J7)</f>
        <v>165</v>
      </c>
      <c r="K3" s="67">
        <f t="shared" si="0"/>
        <v>153</v>
      </c>
      <c r="L3" s="67">
        <f t="shared" si="0"/>
        <v>152</v>
      </c>
      <c r="M3" s="67">
        <f t="shared" si="0"/>
        <v>152</v>
      </c>
      <c r="N3" s="67">
        <f t="shared" si="0"/>
        <v>151</v>
      </c>
      <c r="O3" s="67">
        <f t="shared" si="0"/>
        <v>148</v>
      </c>
      <c r="P3" s="67">
        <f t="shared" si="0"/>
        <v>148</v>
      </c>
      <c r="Q3" s="67">
        <f t="shared" si="0"/>
        <v>147</v>
      </c>
      <c r="R3" s="67">
        <f t="shared" si="0"/>
        <v>147</v>
      </c>
      <c r="S3" s="67">
        <f t="shared" si="0"/>
        <v>145</v>
      </c>
      <c r="T3" s="67">
        <f t="shared" si="0"/>
        <v>145</v>
      </c>
      <c r="U3" s="67">
        <f t="shared" si="0"/>
        <v>145</v>
      </c>
      <c r="V3" s="67">
        <f t="shared" si="0"/>
        <v>145</v>
      </c>
      <c r="W3" s="67">
        <f t="shared" si="0"/>
        <v>144</v>
      </c>
      <c r="X3" s="67">
        <f t="shared" si="0"/>
        <v>144</v>
      </c>
      <c r="Y3" s="67">
        <f t="shared" si="0"/>
        <v>144</v>
      </c>
      <c r="Z3" s="67">
        <f t="shared" si="0"/>
        <v>142</v>
      </c>
      <c r="AA3" s="67">
        <f t="shared" si="0"/>
        <v>142</v>
      </c>
      <c r="AB3" s="67">
        <f t="shared" si="0"/>
        <v>141</v>
      </c>
      <c r="AC3" s="67">
        <f t="shared" si="0"/>
        <v>141</v>
      </c>
      <c r="AD3" s="67">
        <f t="shared" si="0"/>
        <v>140</v>
      </c>
      <c r="AE3" s="67">
        <f t="shared" si="0"/>
        <v>137</v>
      </c>
      <c r="AF3" s="67">
        <f t="shared" si="0"/>
        <v>137</v>
      </c>
      <c r="AG3" s="67">
        <f t="shared" si="0"/>
        <v>137</v>
      </c>
      <c r="AH3" s="67">
        <f t="shared" si="0"/>
        <v>135</v>
      </c>
      <c r="AI3" s="67">
        <f t="shared" si="0"/>
        <v>135</v>
      </c>
      <c r="AJ3" s="67">
        <f t="shared" si="0"/>
        <v>132</v>
      </c>
      <c r="AK3" s="67">
        <f t="shared" si="0"/>
        <v>130</v>
      </c>
      <c r="AL3" s="67">
        <f t="shared" si="0"/>
        <v>129</v>
      </c>
      <c r="AM3" s="67">
        <f t="shared" si="0"/>
        <v>129</v>
      </c>
      <c r="AN3" s="67">
        <f t="shared" si="0"/>
        <v>127</v>
      </c>
      <c r="AO3" s="67">
        <f t="shared" si="0"/>
        <v>127</v>
      </c>
      <c r="AP3" s="67">
        <f t="shared" si="0"/>
        <v>126</v>
      </c>
      <c r="AQ3" s="67">
        <f t="shared" si="0"/>
        <v>120</v>
      </c>
      <c r="AR3" s="67">
        <f t="shared" si="0"/>
        <v>118</v>
      </c>
      <c r="AS3" s="67">
        <f t="shared" si="0"/>
        <v>109</v>
      </c>
      <c r="AT3" s="68">
        <f t="shared" si="0"/>
        <v>106</v>
      </c>
    </row>
    <row r="4" spans="1:54" ht="14.4" hidden="1" x14ac:dyDescent="0.3">
      <c r="A4" s="60"/>
      <c r="B4" s="60"/>
      <c r="C4" s="60"/>
      <c r="D4" s="60"/>
      <c r="E4" s="60"/>
      <c r="F4" s="60"/>
      <c r="G4" s="61"/>
      <c r="H4" s="61"/>
      <c r="I4" s="62"/>
      <c r="J4" s="71">
        <f t="shared" ref="J4:AT4" si="1">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83</v>
      </c>
      <c r="K4" s="72">
        <f t="shared" si="1"/>
        <v>75</v>
      </c>
      <c r="L4" s="72">
        <f t="shared" si="1"/>
        <v>72</v>
      </c>
      <c r="M4" s="72">
        <f t="shared" si="1"/>
        <v>71</v>
      </c>
      <c r="N4" s="72">
        <f t="shared" si="1"/>
        <v>68</v>
      </c>
      <c r="O4" s="72">
        <f t="shared" si="1"/>
        <v>68</v>
      </c>
      <c r="P4" s="72">
        <f t="shared" si="1"/>
        <v>66</v>
      </c>
      <c r="Q4" s="72">
        <f t="shared" si="1"/>
        <v>63</v>
      </c>
      <c r="R4" s="72">
        <f t="shared" si="1"/>
        <v>75</v>
      </c>
      <c r="S4" s="72">
        <f t="shared" si="1"/>
        <v>73</v>
      </c>
      <c r="T4" s="72">
        <f t="shared" si="1"/>
        <v>69</v>
      </c>
      <c r="U4" s="72">
        <f t="shared" si="1"/>
        <v>65</v>
      </c>
      <c r="V4" s="72">
        <f t="shared" si="1"/>
        <v>70</v>
      </c>
      <c r="W4" s="72">
        <f t="shared" si="1"/>
        <v>72</v>
      </c>
      <c r="X4" s="72">
        <f t="shared" si="1"/>
        <v>62</v>
      </c>
      <c r="Y4" s="72">
        <f t="shared" si="1"/>
        <v>72</v>
      </c>
      <c r="Z4" s="72">
        <f t="shared" si="1"/>
        <v>69</v>
      </c>
      <c r="AA4" s="72">
        <f t="shared" si="1"/>
        <v>65</v>
      </c>
      <c r="AB4" s="72">
        <f t="shared" si="1"/>
        <v>66</v>
      </c>
      <c r="AC4" s="72">
        <f t="shared" si="1"/>
        <v>59</v>
      </c>
      <c r="AD4" s="72">
        <f t="shared" si="1"/>
        <v>69</v>
      </c>
      <c r="AE4" s="72">
        <f t="shared" si="1"/>
        <v>70</v>
      </c>
      <c r="AF4" s="72">
        <f t="shared" si="1"/>
        <v>65</v>
      </c>
      <c r="AG4" s="72">
        <f t="shared" si="1"/>
        <v>75</v>
      </c>
      <c r="AH4" s="72">
        <f t="shared" si="1"/>
        <v>62</v>
      </c>
      <c r="AI4" s="72">
        <f t="shared" si="1"/>
        <v>62</v>
      </c>
      <c r="AJ4" s="72">
        <f t="shared" si="1"/>
        <v>58</v>
      </c>
      <c r="AK4" s="72">
        <f t="shared" si="1"/>
        <v>56</v>
      </c>
      <c r="AL4" s="72">
        <f t="shared" si="1"/>
        <v>59</v>
      </c>
      <c r="AM4" s="72">
        <f t="shared" si="1"/>
        <v>57</v>
      </c>
      <c r="AN4" s="72">
        <f t="shared" si="1"/>
        <v>66</v>
      </c>
      <c r="AO4" s="72">
        <f t="shared" si="1"/>
        <v>65</v>
      </c>
      <c r="AP4" s="72">
        <f t="shared" si="1"/>
        <v>53</v>
      </c>
      <c r="AQ4" s="72">
        <f t="shared" si="1"/>
        <v>52</v>
      </c>
      <c r="AR4" s="72">
        <f t="shared" si="1"/>
        <v>57</v>
      </c>
      <c r="AS4" s="72">
        <f t="shared" si="1"/>
        <v>53</v>
      </c>
      <c r="AT4" s="77">
        <f t="shared" si="1"/>
        <v>53</v>
      </c>
    </row>
    <row r="5" spans="1:54" ht="14.4" hidden="1" x14ac:dyDescent="0.3">
      <c r="A5" s="63"/>
      <c r="B5" s="63"/>
      <c r="C5" s="63"/>
      <c r="D5" s="63"/>
      <c r="E5" s="63"/>
      <c r="F5" s="63"/>
      <c r="G5" s="64"/>
      <c r="H5" s="64"/>
      <c r="I5" s="65"/>
      <c r="J5" s="73">
        <f t="shared" ref="J5:AT5" si="2">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82</v>
      </c>
      <c r="K5" s="74">
        <f t="shared" si="2"/>
        <v>78</v>
      </c>
      <c r="L5" s="74">
        <f t="shared" si="2"/>
        <v>80</v>
      </c>
      <c r="M5" s="74">
        <f t="shared" si="2"/>
        <v>81</v>
      </c>
      <c r="N5" s="74">
        <f t="shared" si="2"/>
        <v>83</v>
      </c>
      <c r="O5" s="74">
        <f t="shared" si="2"/>
        <v>80</v>
      </c>
      <c r="P5" s="74">
        <f t="shared" si="2"/>
        <v>82</v>
      </c>
      <c r="Q5" s="74">
        <f t="shared" si="2"/>
        <v>84</v>
      </c>
      <c r="R5" s="74">
        <f t="shared" si="2"/>
        <v>72</v>
      </c>
      <c r="S5" s="74">
        <f t="shared" si="2"/>
        <v>72</v>
      </c>
      <c r="T5" s="74">
        <f t="shared" si="2"/>
        <v>76</v>
      </c>
      <c r="U5" s="74">
        <f t="shared" si="2"/>
        <v>80</v>
      </c>
      <c r="V5" s="74">
        <f t="shared" si="2"/>
        <v>75</v>
      </c>
      <c r="W5" s="74">
        <f t="shared" si="2"/>
        <v>72</v>
      </c>
      <c r="X5" s="74">
        <f t="shared" si="2"/>
        <v>82</v>
      </c>
      <c r="Y5" s="74">
        <f t="shared" si="2"/>
        <v>72</v>
      </c>
      <c r="Z5" s="74">
        <f t="shared" si="2"/>
        <v>73</v>
      </c>
      <c r="AA5" s="74">
        <f t="shared" si="2"/>
        <v>77</v>
      </c>
      <c r="AB5" s="74">
        <f t="shared" si="2"/>
        <v>75</v>
      </c>
      <c r="AC5" s="74">
        <f t="shared" si="2"/>
        <v>82</v>
      </c>
      <c r="AD5" s="74">
        <f t="shared" si="2"/>
        <v>71</v>
      </c>
      <c r="AE5" s="74">
        <f t="shared" si="2"/>
        <v>67</v>
      </c>
      <c r="AF5" s="74">
        <f t="shared" si="2"/>
        <v>72</v>
      </c>
      <c r="AG5" s="74">
        <f t="shared" si="2"/>
        <v>62</v>
      </c>
      <c r="AH5" s="74">
        <f t="shared" si="2"/>
        <v>73</v>
      </c>
      <c r="AI5" s="74">
        <f t="shared" si="2"/>
        <v>73</v>
      </c>
      <c r="AJ5" s="74">
        <f t="shared" si="2"/>
        <v>74</v>
      </c>
      <c r="AK5" s="74">
        <f t="shared" si="2"/>
        <v>74</v>
      </c>
      <c r="AL5" s="74">
        <f t="shared" si="2"/>
        <v>70</v>
      </c>
      <c r="AM5" s="74">
        <f t="shared" si="2"/>
        <v>72</v>
      </c>
      <c r="AN5" s="74">
        <f t="shared" si="2"/>
        <v>61</v>
      </c>
      <c r="AO5" s="74">
        <f t="shared" si="2"/>
        <v>62</v>
      </c>
      <c r="AP5" s="74">
        <f t="shared" si="2"/>
        <v>73</v>
      </c>
      <c r="AQ5" s="74">
        <f t="shared" si="2"/>
        <v>68</v>
      </c>
      <c r="AR5" s="74">
        <f t="shared" si="2"/>
        <v>61</v>
      </c>
      <c r="AS5" s="74">
        <f t="shared" si="2"/>
        <v>56</v>
      </c>
      <c r="AT5" s="78">
        <f t="shared" si="2"/>
        <v>53</v>
      </c>
    </row>
    <row r="6" spans="1:54" ht="14.4" hidden="1" x14ac:dyDescent="0.3">
      <c r="A6" s="60"/>
      <c r="B6" s="60"/>
      <c r="C6" s="60"/>
      <c r="D6" s="60"/>
      <c r="E6" s="60"/>
      <c r="F6" s="60"/>
      <c r="G6" s="61"/>
      <c r="H6" s="61"/>
      <c r="I6" s="62"/>
      <c r="J6" s="73">
        <f t="shared" ref="J6:AT6" si="3">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4">
        <f t="shared" si="3"/>
        <v>0</v>
      </c>
      <c r="L6" s="74">
        <f t="shared" si="3"/>
        <v>0</v>
      </c>
      <c r="M6" s="74">
        <f t="shared" si="3"/>
        <v>0</v>
      </c>
      <c r="N6" s="74">
        <f t="shared" si="3"/>
        <v>0</v>
      </c>
      <c r="O6" s="74">
        <f t="shared" si="3"/>
        <v>0</v>
      </c>
      <c r="P6" s="74">
        <f t="shared" si="3"/>
        <v>0</v>
      </c>
      <c r="Q6" s="74">
        <f t="shared" si="3"/>
        <v>0</v>
      </c>
      <c r="R6" s="74">
        <f t="shared" si="3"/>
        <v>0</v>
      </c>
      <c r="S6" s="74">
        <f t="shared" si="3"/>
        <v>0</v>
      </c>
      <c r="T6" s="74">
        <f t="shared" si="3"/>
        <v>0</v>
      </c>
      <c r="U6" s="74">
        <f t="shared" si="3"/>
        <v>0</v>
      </c>
      <c r="V6" s="74">
        <f t="shared" si="3"/>
        <v>0</v>
      </c>
      <c r="W6" s="74">
        <f t="shared" si="3"/>
        <v>0</v>
      </c>
      <c r="X6" s="74">
        <f t="shared" si="3"/>
        <v>0</v>
      </c>
      <c r="Y6" s="74">
        <f t="shared" si="3"/>
        <v>0</v>
      </c>
      <c r="Z6" s="74">
        <f t="shared" si="3"/>
        <v>0</v>
      </c>
      <c r="AA6" s="74">
        <f t="shared" si="3"/>
        <v>0</v>
      </c>
      <c r="AB6" s="74">
        <f t="shared" si="3"/>
        <v>0</v>
      </c>
      <c r="AC6" s="74">
        <f t="shared" si="3"/>
        <v>0</v>
      </c>
      <c r="AD6" s="74">
        <f t="shared" si="3"/>
        <v>0</v>
      </c>
      <c r="AE6" s="74">
        <f t="shared" si="3"/>
        <v>0</v>
      </c>
      <c r="AF6" s="74">
        <f t="shared" si="3"/>
        <v>0</v>
      </c>
      <c r="AG6" s="74">
        <f t="shared" si="3"/>
        <v>0</v>
      </c>
      <c r="AH6" s="74">
        <f t="shared" si="3"/>
        <v>0</v>
      </c>
      <c r="AI6" s="74">
        <f t="shared" si="3"/>
        <v>0</v>
      </c>
      <c r="AJ6" s="74">
        <f t="shared" si="3"/>
        <v>0</v>
      </c>
      <c r="AK6" s="74">
        <f t="shared" si="3"/>
        <v>0</v>
      </c>
      <c r="AL6" s="74">
        <f t="shared" si="3"/>
        <v>0</v>
      </c>
      <c r="AM6" s="74">
        <f t="shared" si="3"/>
        <v>0</v>
      </c>
      <c r="AN6" s="74">
        <f t="shared" si="3"/>
        <v>0</v>
      </c>
      <c r="AO6" s="74">
        <f t="shared" si="3"/>
        <v>0</v>
      </c>
      <c r="AP6" s="74">
        <f t="shared" si="3"/>
        <v>0</v>
      </c>
      <c r="AQ6" s="74">
        <f t="shared" si="3"/>
        <v>0</v>
      </c>
      <c r="AR6" s="74">
        <f t="shared" si="3"/>
        <v>0</v>
      </c>
      <c r="AS6" s="74">
        <f t="shared" si="3"/>
        <v>0</v>
      </c>
      <c r="AT6" s="78">
        <f t="shared" si="3"/>
        <v>0</v>
      </c>
    </row>
    <row r="7" spans="1:54" ht="14.4" hidden="1" x14ac:dyDescent="0.3">
      <c r="A7" s="60"/>
      <c r="B7" s="60"/>
      <c r="C7" s="60"/>
      <c r="D7" s="60"/>
      <c r="E7" s="60"/>
      <c r="F7" s="60"/>
      <c r="G7" s="61"/>
      <c r="H7" s="61"/>
      <c r="I7" s="62"/>
      <c r="J7" s="75">
        <f t="shared" ref="J7:AT7" si="4">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6">
        <f t="shared" si="4"/>
        <v>0</v>
      </c>
      <c r="L7" s="76">
        <f t="shared" si="4"/>
        <v>0</v>
      </c>
      <c r="M7" s="76">
        <f t="shared" si="4"/>
        <v>0</v>
      </c>
      <c r="N7" s="76">
        <f t="shared" si="4"/>
        <v>0</v>
      </c>
      <c r="O7" s="76">
        <f t="shared" si="4"/>
        <v>0</v>
      </c>
      <c r="P7" s="76">
        <f t="shared" si="4"/>
        <v>0</v>
      </c>
      <c r="Q7" s="76">
        <f t="shared" si="4"/>
        <v>0</v>
      </c>
      <c r="R7" s="76">
        <f t="shared" si="4"/>
        <v>0</v>
      </c>
      <c r="S7" s="76">
        <f t="shared" si="4"/>
        <v>0</v>
      </c>
      <c r="T7" s="76">
        <f t="shared" si="4"/>
        <v>0</v>
      </c>
      <c r="U7" s="76">
        <f t="shared" si="4"/>
        <v>0</v>
      </c>
      <c r="V7" s="76">
        <f t="shared" si="4"/>
        <v>0</v>
      </c>
      <c r="W7" s="76">
        <f t="shared" si="4"/>
        <v>0</v>
      </c>
      <c r="X7" s="76">
        <f t="shared" si="4"/>
        <v>0</v>
      </c>
      <c r="Y7" s="76">
        <f t="shared" si="4"/>
        <v>0</v>
      </c>
      <c r="Z7" s="76">
        <f t="shared" si="4"/>
        <v>0</v>
      </c>
      <c r="AA7" s="76">
        <f t="shared" si="4"/>
        <v>0</v>
      </c>
      <c r="AB7" s="76">
        <f t="shared" si="4"/>
        <v>0</v>
      </c>
      <c r="AC7" s="76">
        <f t="shared" si="4"/>
        <v>0</v>
      </c>
      <c r="AD7" s="76">
        <f t="shared" si="4"/>
        <v>0</v>
      </c>
      <c r="AE7" s="76">
        <f t="shared" si="4"/>
        <v>0</v>
      </c>
      <c r="AF7" s="76">
        <f t="shared" si="4"/>
        <v>0</v>
      </c>
      <c r="AG7" s="76">
        <f t="shared" si="4"/>
        <v>0</v>
      </c>
      <c r="AH7" s="76">
        <f t="shared" si="4"/>
        <v>0</v>
      </c>
      <c r="AI7" s="76">
        <f t="shared" si="4"/>
        <v>0</v>
      </c>
      <c r="AJ7" s="76">
        <f t="shared" si="4"/>
        <v>0</v>
      </c>
      <c r="AK7" s="76">
        <f t="shared" si="4"/>
        <v>0</v>
      </c>
      <c r="AL7" s="76">
        <f t="shared" si="4"/>
        <v>0</v>
      </c>
      <c r="AM7" s="76">
        <f t="shared" si="4"/>
        <v>0</v>
      </c>
      <c r="AN7" s="76">
        <f t="shared" si="4"/>
        <v>0</v>
      </c>
      <c r="AO7" s="76">
        <f t="shared" si="4"/>
        <v>0</v>
      </c>
      <c r="AP7" s="76">
        <f t="shared" si="4"/>
        <v>0</v>
      </c>
      <c r="AQ7" s="76">
        <f t="shared" si="4"/>
        <v>0</v>
      </c>
      <c r="AR7" s="76">
        <f t="shared" si="4"/>
        <v>0</v>
      </c>
      <c r="AS7" s="76">
        <f t="shared" si="4"/>
        <v>0</v>
      </c>
      <c r="AT7" s="79">
        <f t="shared" si="4"/>
        <v>0</v>
      </c>
    </row>
    <row r="8" spans="1:54" ht="12.75" hidden="1" customHeight="1" x14ac:dyDescent="0.3">
      <c r="A8" s="134" t="s">
        <v>1</v>
      </c>
      <c r="B8" s="151">
        <v>46184</v>
      </c>
      <c r="C8" s="150">
        <v>0.54166666666666663</v>
      </c>
      <c r="D8" s="144" t="s">
        <v>88</v>
      </c>
      <c r="E8" s="166" t="s">
        <v>32</v>
      </c>
      <c r="F8" s="166" t="s">
        <v>34</v>
      </c>
      <c r="G8" s="167">
        <v>2</v>
      </c>
      <c r="H8" s="167">
        <v>0</v>
      </c>
      <c r="I8" s="168"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82" t="s">
        <v>7</v>
      </c>
      <c r="AJ8" s="17" t="s">
        <v>7</v>
      </c>
      <c r="AK8" s="17" t="s">
        <v>7</v>
      </c>
      <c r="AL8" s="17" t="s">
        <v>7</v>
      </c>
      <c r="AM8" s="17" t="s">
        <v>7</v>
      </c>
      <c r="AN8" s="17" t="s">
        <v>7</v>
      </c>
      <c r="AO8" s="17" t="s">
        <v>7</v>
      </c>
      <c r="AP8" s="17" t="s">
        <v>7</v>
      </c>
      <c r="AQ8" s="17" t="s">
        <v>7</v>
      </c>
      <c r="AR8" s="17" t="s">
        <v>7</v>
      </c>
      <c r="AS8" s="17" t="s">
        <v>7</v>
      </c>
      <c r="AT8" s="22" t="s">
        <v>7</v>
      </c>
    </row>
    <row r="9" spans="1:54" ht="12.75" hidden="1" customHeight="1" x14ac:dyDescent="0.3">
      <c r="A9" s="134"/>
      <c r="B9" s="102"/>
      <c r="C9" s="102"/>
      <c r="D9" s="106"/>
      <c r="E9" s="106"/>
      <c r="F9" s="106"/>
      <c r="G9" s="156"/>
      <c r="H9" s="156"/>
      <c r="I9" s="108"/>
      <c r="J9" s="23">
        <v>3</v>
      </c>
      <c r="K9" s="18">
        <v>3</v>
      </c>
      <c r="L9" s="18">
        <v>2</v>
      </c>
      <c r="M9" s="18">
        <v>2</v>
      </c>
      <c r="N9" s="18">
        <v>3</v>
      </c>
      <c r="O9" s="18">
        <v>3</v>
      </c>
      <c r="P9" s="18">
        <v>2</v>
      </c>
      <c r="Q9" s="18">
        <v>3</v>
      </c>
      <c r="R9" s="18">
        <v>3</v>
      </c>
      <c r="S9" s="18">
        <v>2</v>
      </c>
      <c r="T9" s="18">
        <v>3</v>
      </c>
      <c r="U9" s="18">
        <v>3</v>
      </c>
      <c r="V9" s="18">
        <v>2</v>
      </c>
      <c r="W9" s="18">
        <v>2</v>
      </c>
      <c r="X9" s="18">
        <v>4</v>
      </c>
      <c r="Y9" s="18">
        <v>2</v>
      </c>
      <c r="Z9" s="18">
        <v>2</v>
      </c>
      <c r="AA9" s="18">
        <v>2</v>
      </c>
      <c r="AB9" s="18">
        <v>3</v>
      </c>
      <c r="AC9" s="18">
        <v>4</v>
      </c>
      <c r="AD9" s="18">
        <v>3</v>
      </c>
      <c r="AE9" s="18">
        <v>3</v>
      </c>
      <c r="AF9" s="18">
        <v>3</v>
      </c>
      <c r="AG9" s="18">
        <v>3</v>
      </c>
      <c r="AH9" s="18">
        <v>4</v>
      </c>
      <c r="AI9" s="83">
        <v>2</v>
      </c>
      <c r="AJ9" s="18">
        <v>3</v>
      </c>
      <c r="AK9" s="18">
        <v>2</v>
      </c>
      <c r="AL9" s="18">
        <v>3</v>
      </c>
      <c r="AM9" s="18">
        <v>3</v>
      </c>
      <c r="AN9" s="18">
        <v>3</v>
      </c>
      <c r="AO9" s="18">
        <v>3</v>
      </c>
      <c r="AP9" s="18">
        <v>3</v>
      </c>
      <c r="AQ9" s="18">
        <v>2</v>
      </c>
      <c r="AR9" s="18">
        <v>3</v>
      </c>
      <c r="AS9" s="18">
        <v>3</v>
      </c>
      <c r="AT9" s="24">
        <v>3</v>
      </c>
      <c r="BA9" s="7" t="s">
        <v>7</v>
      </c>
      <c r="BB9" s="8" t="s">
        <v>9</v>
      </c>
    </row>
    <row r="10" spans="1:54" ht="12.75" hidden="1" customHeight="1" x14ac:dyDescent="0.3">
      <c r="A10" s="134"/>
      <c r="B10" s="101">
        <v>46184</v>
      </c>
      <c r="C10" s="142">
        <v>0.83333333333333337</v>
      </c>
      <c r="D10" s="136" t="s">
        <v>104</v>
      </c>
      <c r="E10" s="105" t="s">
        <v>33</v>
      </c>
      <c r="F10" s="105" t="s">
        <v>31</v>
      </c>
      <c r="G10" s="155">
        <v>2</v>
      </c>
      <c r="H10" s="155">
        <v>1</v>
      </c>
      <c r="I10" s="107" t="str">
        <f t="shared" ref="I10:I54" si="5">IF(G10="","-",IF(G10&gt;H10,"L",IF(G10=H10,"E",IF(G10&lt;H10,"V"))))</f>
        <v>L</v>
      </c>
      <c r="J10" s="26" t="s">
        <v>7</v>
      </c>
      <c r="K10" s="13" t="s">
        <v>7</v>
      </c>
      <c r="L10" s="13" t="s">
        <v>16</v>
      </c>
      <c r="M10" s="13" t="s">
        <v>16</v>
      </c>
      <c r="N10" s="13" t="s">
        <v>7</v>
      </c>
      <c r="O10" s="13" t="s">
        <v>15</v>
      </c>
      <c r="P10" s="13" t="s">
        <v>16</v>
      </c>
      <c r="Q10" s="13" t="s">
        <v>16</v>
      </c>
      <c r="R10" s="13" t="s">
        <v>7</v>
      </c>
      <c r="S10" s="13" t="s">
        <v>15</v>
      </c>
      <c r="T10" s="13" t="s">
        <v>16</v>
      </c>
      <c r="U10" s="13" t="s">
        <v>7</v>
      </c>
      <c r="V10" s="13" t="s">
        <v>7</v>
      </c>
      <c r="W10" s="13" t="s">
        <v>16</v>
      </c>
      <c r="X10" s="13" t="s">
        <v>7</v>
      </c>
      <c r="Y10" s="13" t="s">
        <v>7</v>
      </c>
      <c r="Z10" s="13" t="s">
        <v>7</v>
      </c>
      <c r="AA10" s="13" t="s">
        <v>16</v>
      </c>
      <c r="AB10" s="13" t="s">
        <v>15</v>
      </c>
      <c r="AC10" s="13" t="s">
        <v>7</v>
      </c>
      <c r="AD10" s="13" t="s">
        <v>7</v>
      </c>
      <c r="AE10" s="13" t="s">
        <v>7</v>
      </c>
      <c r="AF10" s="13" t="s">
        <v>7</v>
      </c>
      <c r="AG10" s="13" t="s">
        <v>7</v>
      </c>
      <c r="AH10" s="13" t="s">
        <v>16</v>
      </c>
      <c r="AI10" s="84" t="s">
        <v>16</v>
      </c>
      <c r="AJ10" s="13" t="s">
        <v>16</v>
      </c>
      <c r="AK10" s="13" t="s">
        <v>16</v>
      </c>
      <c r="AL10" s="13" t="s">
        <v>15</v>
      </c>
      <c r="AM10" s="13" t="s">
        <v>16</v>
      </c>
      <c r="AN10" s="13" t="s">
        <v>7</v>
      </c>
      <c r="AO10" s="13" t="s">
        <v>16</v>
      </c>
      <c r="AP10" s="13" t="s">
        <v>16</v>
      </c>
      <c r="AQ10" s="13" t="s">
        <v>15</v>
      </c>
      <c r="AR10" s="13" t="s">
        <v>16</v>
      </c>
      <c r="AS10" s="13" t="s">
        <v>15</v>
      </c>
      <c r="AT10" s="25" t="s">
        <v>16</v>
      </c>
      <c r="BA10" s="9" t="s">
        <v>16</v>
      </c>
      <c r="BB10" s="10">
        <v>0</v>
      </c>
    </row>
    <row r="11" spans="1:54" ht="12.75" hidden="1" customHeight="1" x14ac:dyDescent="0.3">
      <c r="A11" s="134"/>
      <c r="B11" s="102"/>
      <c r="C11" s="102"/>
      <c r="D11" s="106"/>
      <c r="E11" s="106"/>
      <c r="F11" s="106"/>
      <c r="G11" s="156"/>
      <c r="H11" s="156"/>
      <c r="I11" s="108"/>
      <c r="J11" s="26">
        <v>3</v>
      </c>
      <c r="K11" s="13">
        <v>3</v>
      </c>
      <c r="L11" s="13">
        <v>2</v>
      </c>
      <c r="M11" s="13">
        <v>2</v>
      </c>
      <c r="N11" s="13">
        <v>2</v>
      </c>
      <c r="O11" s="13">
        <v>1</v>
      </c>
      <c r="P11" s="13">
        <v>2</v>
      </c>
      <c r="Q11" s="13">
        <v>4</v>
      </c>
      <c r="R11" s="13">
        <v>2</v>
      </c>
      <c r="S11" s="13">
        <v>3</v>
      </c>
      <c r="T11" s="13">
        <v>2</v>
      </c>
      <c r="U11" s="13">
        <v>2</v>
      </c>
      <c r="V11" s="13">
        <v>3</v>
      </c>
      <c r="W11" s="13">
        <v>2</v>
      </c>
      <c r="X11" s="13">
        <v>2</v>
      </c>
      <c r="Y11" s="13">
        <v>2</v>
      </c>
      <c r="Z11" s="13">
        <v>2</v>
      </c>
      <c r="AA11" s="13">
        <v>2</v>
      </c>
      <c r="AB11" s="13">
        <v>2</v>
      </c>
      <c r="AC11" s="13">
        <v>3</v>
      </c>
      <c r="AD11" s="13">
        <v>3</v>
      </c>
      <c r="AE11" s="13">
        <v>2</v>
      </c>
      <c r="AF11" s="13">
        <v>2</v>
      </c>
      <c r="AG11" s="13">
        <v>3</v>
      </c>
      <c r="AH11" s="13">
        <v>2</v>
      </c>
      <c r="AI11" s="85">
        <v>2</v>
      </c>
      <c r="AJ11" s="13">
        <v>4</v>
      </c>
      <c r="AK11" s="13">
        <v>4</v>
      </c>
      <c r="AL11" s="13">
        <v>4</v>
      </c>
      <c r="AM11" s="13">
        <v>4</v>
      </c>
      <c r="AN11" s="13">
        <v>2</v>
      </c>
      <c r="AO11" s="13">
        <v>2</v>
      </c>
      <c r="AP11" s="13">
        <v>2</v>
      </c>
      <c r="AQ11" s="13">
        <v>3</v>
      </c>
      <c r="AR11" s="13">
        <v>2</v>
      </c>
      <c r="AS11" s="13">
        <v>4</v>
      </c>
      <c r="AT11" s="25">
        <v>2</v>
      </c>
      <c r="BA11" s="9" t="s">
        <v>15</v>
      </c>
      <c r="BB11" s="10">
        <v>1</v>
      </c>
    </row>
    <row r="12" spans="1:54" ht="12.75" hidden="1" customHeight="1" x14ac:dyDescent="0.3">
      <c r="A12" s="134"/>
      <c r="B12" s="101">
        <v>46191</v>
      </c>
      <c r="C12" s="142">
        <v>0.41666666666666669</v>
      </c>
      <c r="D12" s="136" t="s">
        <v>89</v>
      </c>
      <c r="E12" s="105" t="s">
        <v>31</v>
      </c>
      <c r="F12" s="105" t="s">
        <v>34</v>
      </c>
      <c r="G12" s="155">
        <v>1</v>
      </c>
      <c r="H12" s="155">
        <v>1</v>
      </c>
      <c r="I12" s="107" t="str">
        <f t="shared" si="5"/>
        <v>E</v>
      </c>
      <c r="J12" s="23" t="s">
        <v>7</v>
      </c>
      <c r="K12" s="18" t="s">
        <v>16</v>
      </c>
      <c r="L12" s="18" t="s">
        <v>7</v>
      </c>
      <c r="M12" s="18" t="s">
        <v>7</v>
      </c>
      <c r="N12" s="18" t="s">
        <v>15</v>
      </c>
      <c r="O12" s="18" t="s">
        <v>7</v>
      </c>
      <c r="P12" s="18" t="s">
        <v>7</v>
      </c>
      <c r="Q12" s="18" t="s">
        <v>7</v>
      </c>
      <c r="R12" s="18" t="s">
        <v>7</v>
      </c>
      <c r="S12" s="18" t="s">
        <v>7</v>
      </c>
      <c r="T12" s="18" t="s">
        <v>7</v>
      </c>
      <c r="U12" s="18" t="s">
        <v>7</v>
      </c>
      <c r="V12" s="18" t="s">
        <v>7</v>
      </c>
      <c r="W12" s="18" t="s">
        <v>7</v>
      </c>
      <c r="X12" s="18" t="s">
        <v>7</v>
      </c>
      <c r="Y12" s="18" t="s">
        <v>16</v>
      </c>
      <c r="Z12" s="18" t="s">
        <v>7</v>
      </c>
      <c r="AA12" s="18" t="s">
        <v>7</v>
      </c>
      <c r="AB12" s="18" t="s">
        <v>7</v>
      </c>
      <c r="AC12" s="18" t="s">
        <v>7</v>
      </c>
      <c r="AD12" s="18" t="s">
        <v>15</v>
      </c>
      <c r="AE12" s="18" t="s">
        <v>16</v>
      </c>
      <c r="AF12" s="18" t="s">
        <v>7</v>
      </c>
      <c r="AG12" s="18" t="s">
        <v>15</v>
      </c>
      <c r="AH12" s="18" t="s">
        <v>7</v>
      </c>
      <c r="AI12" s="86" t="s">
        <v>7</v>
      </c>
      <c r="AJ12" s="18" t="s">
        <v>7</v>
      </c>
      <c r="AK12" s="18" t="s">
        <v>7</v>
      </c>
      <c r="AL12" s="18" t="s">
        <v>16</v>
      </c>
      <c r="AM12" s="18" t="s">
        <v>7</v>
      </c>
      <c r="AN12" s="18" t="s">
        <v>16</v>
      </c>
      <c r="AO12" s="18" t="s">
        <v>7</v>
      </c>
      <c r="AP12" s="18" t="s">
        <v>7</v>
      </c>
      <c r="AQ12" s="18" t="s">
        <v>7</v>
      </c>
      <c r="AR12" s="18" t="s">
        <v>15</v>
      </c>
      <c r="AS12" s="18" t="s">
        <v>7</v>
      </c>
      <c r="AT12" s="24" t="s">
        <v>7</v>
      </c>
      <c r="BA12" s="9"/>
      <c r="BB12" s="10">
        <v>2</v>
      </c>
    </row>
    <row r="13" spans="1:54" ht="12.75" hidden="1" customHeight="1" x14ac:dyDescent="0.3">
      <c r="A13" s="134"/>
      <c r="B13" s="102"/>
      <c r="C13" s="102"/>
      <c r="D13" s="106"/>
      <c r="E13" s="106"/>
      <c r="F13" s="106"/>
      <c r="G13" s="156"/>
      <c r="H13" s="156"/>
      <c r="I13" s="108"/>
      <c r="J13" s="23">
        <v>2</v>
      </c>
      <c r="K13" s="18">
        <v>2</v>
      </c>
      <c r="L13" s="18">
        <v>3</v>
      </c>
      <c r="M13" s="18">
        <v>1</v>
      </c>
      <c r="N13" s="18">
        <v>3</v>
      </c>
      <c r="O13" s="18">
        <v>2</v>
      </c>
      <c r="P13" s="18">
        <v>2</v>
      </c>
      <c r="Q13" s="18">
        <v>4</v>
      </c>
      <c r="R13" s="18">
        <v>1</v>
      </c>
      <c r="S13" s="18">
        <v>3</v>
      </c>
      <c r="T13" s="18">
        <v>3</v>
      </c>
      <c r="U13" s="18">
        <v>2</v>
      </c>
      <c r="V13" s="18">
        <v>2</v>
      </c>
      <c r="W13" s="18">
        <v>3</v>
      </c>
      <c r="X13" s="18">
        <v>2</v>
      </c>
      <c r="Y13" s="18">
        <v>2</v>
      </c>
      <c r="Z13" s="18">
        <v>3</v>
      </c>
      <c r="AA13" s="18">
        <v>3</v>
      </c>
      <c r="AB13" s="18">
        <v>2</v>
      </c>
      <c r="AC13" s="18">
        <v>1</v>
      </c>
      <c r="AD13" s="18">
        <v>3</v>
      </c>
      <c r="AE13" s="18">
        <v>2</v>
      </c>
      <c r="AF13" s="18">
        <v>3</v>
      </c>
      <c r="AG13" s="18">
        <v>4</v>
      </c>
      <c r="AH13" s="18">
        <v>2</v>
      </c>
      <c r="AI13" s="83">
        <v>2</v>
      </c>
      <c r="AJ13" s="18">
        <v>3</v>
      </c>
      <c r="AK13" s="18">
        <v>2</v>
      </c>
      <c r="AL13" s="18">
        <v>2</v>
      </c>
      <c r="AM13" s="18">
        <v>3</v>
      </c>
      <c r="AN13" s="18">
        <v>2</v>
      </c>
      <c r="AO13" s="18">
        <v>2</v>
      </c>
      <c r="AP13" s="18">
        <v>3</v>
      </c>
      <c r="AQ13" s="18">
        <v>3</v>
      </c>
      <c r="AR13" s="18">
        <v>2</v>
      </c>
      <c r="AS13" s="18">
        <v>3</v>
      </c>
      <c r="AT13" s="24">
        <v>3</v>
      </c>
      <c r="BA13" s="9"/>
      <c r="BB13" s="10">
        <v>3</v>
      </c>
    </row>
    <row r="14" spans="1:54" ht="12.75" hidden="1" customHeight="1" x14ac:dyDescent="0.3">
      <c r="A14" s="134"/>
      <c r="B14" s="101">
        <v>46191</v>
      </c>
      <c r="C14" s="142">
        <v>0.79166666666666663</v>
      </c>
      <c r="D14" s="136" t="s">
        <v>104</v>
      </c>
      <c r="E14" s="105" t="s">
        <v>32</v>
      </c>
      <c r="F14" s="105" t="s">
        <v>33</v>
      </c>
      <c r="G14" s="155">
        <v>1</v>
      </c>
      <c r="H14" s="155">
        <v>0</v>
      </c>
      <c r="I14" s="107" t="str">
        <f t="shared" si="5"/>
        <v>L</v>
      </c>
      <c r="J14" s="26" t="s">
        <v>7</v>
      </c>
      <c r="K14" s="13" t="s">
        <v>16</v>
      </c>
      <c r="L14" s="13" t="s">
        <v>7</v>
      </c>
      <c r="M14" s="13" t="s">
        <v>7</v>
      </c>
      <c r="N14" s="13" t="s">
        <v>7</v>
      </c>
      <c r="O14" s="13" t="s">
        <v>7</v>
      </c>
      <c r="P14" s="13" t="s">
        <v>7</v>
      </c>
      <c r="Q14" s="13" t="s">
        <v>7</v>
      </c>
      <c r="R14" s="13" t="s">
        <v>16</v>
      </c>
      <c r="S14" s="13" t="s">
        <v>7</v>
      </c>
      <c r="T14" s="13" t="s">
        <v>7</v>
      </c>
      <c r="U14" s="13" t="s">
        <v>7</v>
      </c>
      <c r="V14" s="13" t="s">
        <v>7</v>
      </c>
      <c r="W14" s="13" t="s">
        <v>7</v>
      </c>
      <c r="X14" s="13" t="s">
        <v>16</v>
      </c>
      <c r="Y14" s="13" t="s">
        <v>7</v>
      </c>
      <c r="Z14" s="13" t="s">
        <v>7</v>
      </c>
      <c r="AA14" s="13" t="s">
        <v>16</v>
      </c>
      <c r="AB14" s="13" t="s">
        <v>7</v>
      </c>
      <c r="AC14" s="13" t="s">
        <v>16</v>
      </c>
      <c r="AD14" s="13" t="s">
        <v>7</v>
      </c>
      <c r="AE14" s="13" t="s">
        <v>7</v>
      </c>
      <c r="AF14" s="13" t="s">
        <v>7</v>
      </c>
      <c r="AG14" s="13" t="s">
        <v>16</v>
      </c>
      <c r="AH14" s="13" t="s">
        <v>7</v>
      </c>
      <c r="AI14" s="84" t="s">
        <v>7</v>
      </c>
      <c r="AJ14" s="13" t="s">
        <v>7</v>
      </c>
      <c r="AK14" s="13" t="s">
        <v>16</v>
      </c>
      <c r="AL14" s="13" t="s">
        <v>7</v>
      </c>
      <c r="AM14" s="13" t="s">
        <v>16</v>
      </c>
      <c r="AN14" s="13" t="s">
        <v>7</v>
      </c>
      <c r="AO14" s="13" t="s">
        <v>7</v>
      </c>
      <c r="AP14" s="13" t="s">
        <v>7</v>
      </c>
      <c r="AQ14" s="13" t="s">
        <v>7</v>
      </c>
      <c r="AR14" s="13" t="s">
        <v>7</v>
      </c>
      <c r="AS14" s="13" t="s">
        <v>7</v>
      </c>
      <c r="AT14" s="25" t="s">
        <v>7</v>
      </c>
      <c r="BA14" s="9"/>
      <c r="BB14" s="10">
        <v>4</v>
      </c>
    </row>
    <row r="15" spans="1:54" ht="12.75" hidden="1" customHeight="1" x14ac:dyDescent="0.3">
      <c r="A15" s="134"/>
      <c r="B15" s="102"/>
      <c r="C15" s="102"/>
      <c r="D15" s="106"/>
      <c r="E15" s="106"/>
      <c r="F15" s="106"/>
      <c r="G15" s="156"/>
      <c r="H15" s="156"/>
      <c r="I15" s="108"/>
      <c r="J15" s="26">
        <v>2</v>
      </c>
      <c r="K15" s="13">
        <v>2</v>
      </c>
      <c r="L15" s="13">
        <v>3</v>
      </c>
      <c r="M15" s="13">
        <v>3</v>
      </c>
      <c r="N15" s="13">
        <v>3</v>
      </c>
      <c r="O15" s="13">
        <v>3</v>
      </c>
      <c r="P15" s="13">
        <v>3</v>
      </c>
      <c r="Q15" s="13">
        <v>5</v>
      </c>
      <c r="R15" s="13">
        <v>4</v>
      </c>
      <c r="S15" s="13">
        <v>3</v>
      </c>
      <c r="T15" s="13">
        <v>3</v>
      </c>
      <c r="U15" s="13">
        <v>1</v>
      </c>
      <c r="V15" s="13">
        <v>2</v>
      </c>
      <c r="W15" s="13">
        <v>3</v>
      </c>
      <c r="X15" s="13">
        <v>2</v>
      </c>
      <c r="Y15" s="13">
        <v>1</v>
      </c>
      <c r="Z15" s="13">
        <v>3</v>
      </c>
      <c r="AA15" s="13">
        <v>2</v>
      </c>
      <c r="AB15" s="13">
        <v>3</v>
      </c>
      <c r="AC15" s="13">
        <v>2</v>
      </c>
      <c r="AD15" s="13">
        <v>3</v>
      </c>
      <c r="AE15" s="13">
        <v>2</v>
      </c>
      <c r="AF15" s="13">
        <v>2</v>
      </c>
      <c r="AG15" s="13">
        <v>2</v>
      </c>
      <c r="AH15" s="13">
        <v>2</v>
      </c>
      <c r="AI15" s="85">
        <v>3</v>
      </c>
      <c r="AJ15" s="13">
        <v>2</v>
      </c>
      <c r="AK15" s="13">
        <v>4</v>
      </c>
      <c r="AL15" s="13">
        <v>4</v>
      </c>
      <c r="AM15" s="13">
        <v>2</v>
      </c>
      <c r="AN15" s="13">
        <v>3</v>
      </c>
      <c r="AO15" s="13">
        <v>3</v>
      </c>
      <c r="AP15" s="13">
        <v>3</v>
      </c>
      <c r="AQ15" s="13">
        <v>3</v>
      </c>
      <c r="AR15" s="13">
        <v>4</v>
      </c>
      <c r="AS15" s="13">
        <v>3</v>
      </c>
      <c r="AT15" s="25">
        <v>4</v>
      </c>
      <c r="BA15" s="9"/>
      <c r="BB15" s="10">
        <v>5</v>
      </c>
    </row>
    <row r="16" spans="1:54" ht="12.75" hidden="1" customHeight="1" x14ac:dyDescent="0.3">
      <c r="A16" s="134"/>
      <c r="B16" s="101">
        <v>46197</v>
      </c>
      <c r="C16" s="142">
        <v>0.79166666666666663</v>
      </c>
      <c r="D16" s="136" t="s">
        <v>88</v>
      </c>
      <c r="E16" s="105" t="s">
        <v>31</v>
      </c>
      <c r="F16" s="105" t="s">
        <v>32</v>
      </c>
      <c r="G16" s="155">
        <v>0</v>
      </c>
      <c r="H16" s="155">
        <v>3</v>
      </c>
      <c r="I16" s="107" t="str">
        <f t="shared" si="5"/>
        <v>V</v>
      </c>
      <c r="J16" s="23" t="s">
        <v>7</v>
      </c>
      <c r="K16" s="18" t="s">
        <v>15</v>
      </c>
      <c r="L16" s="18" t="s">
        <v>15</v>
      </c>
      <c r="M16" s="18" t="s">
        <v>15</v>
      </c>
      <c r="N16" s="18" t="s">
        <v>15</v>
      </c>
      <c r="O16" s="18" t="s">
        <v>15</v>
      </c>
      <c r="P16" s="18" t="s">
        <v>16</v>
      </c>
      <c r="Q16" s="18" t="s">
        <v>16</v>
      </c>
      <c r="R16" s="18" t="s">
        <v>15</v>
      </c>
      <c r="S16" s="18" t="s">
        <v>16</v>
      </c>
      <c r="T16" s="18" t="s">
        <v>15</v>
      </c>
      <c r="U16" s="18" t="s">
        <v>15</v>
      </c>
      <c r="V16" s="18" t="s">
        <v>15</v>
      </c>
      <c r="W16" s="18" t="s">
        <v>15</v>
      </c>
      <c r="X16" s="18" t="s">
        <v>15</v>
      </c>
      <c r="Y16" s="18" t="s">
        <v>15</v>
      </c>
      <c r="Z16" s="18" t="s">
        <v>16</v>
      </c>
      <c r="AA16" s="18" t="s">
        <v>16</v>
      </c>
      <c r="AB16" s="18" t="s">
        <v>15</v>
      </c>
      <c r="AC16" s="18" t="s">
        <v>15</v>
      </c>
      <c r="AD16" s="18" t="s">
        <v>15</v>
      </c>
      <c r="AE16" s="18" t="s">
        <v>15</v>
      </c>
      <c r="AF16" s="18" t="s">
        <v>16</v>
      </c>
      <c r="AG16" s="18" t="s">
        <v>15</v>
      </c>
      <c r="AH16" s="18" t="s">
        <v>16</v>
      </c>
      <c r="AI16" s="83" t="s">
        <v>15</v>
      </c>
      <c r="AJ16" s="18" t="s">
        <v>16</v>
      </c>
      <c r="AK16" s="18" t="s">
        <v>15</v>
      </c>
      <c r="AL16" s="18" t="s">
        <v>16</v>
      </c>
      <c r="AM16" s="18" t="s">
        <v>7</v>
      </c>
      <c r="AN16" s="18" t="s">
        <v>15</v>
      </c>
      <c r="AO16" s="18" t="s">
        <v>7</v>
      </c>
      <c r="AP16" s="18" t="s">
        <v>15</v>
      </c>
      <c r="AQ16" s="18" t="s">
        <v>16</v>
      </c>
      <c r="AR16" s="18" t="s">
        <v>7</v>
      </c>
      <c r="AS16" s="18" t="s">
        <v>7</v>
      </c>
      <c r="AT16" s="24" t="s">
        <v>15</v>
      </c>
      <c r="BA16" s="9"/>
      <c r="BB16" s="10">
        <v>6</v>
      </c>
    </row>
    <row r="17" spans="1:54" ht="12.75" hidden="1" customHeight="1" x14ac:dyDescent="0.3">
      <c r="A17" s="134"/>
      <c r="B17" s="102"/>
      <c r="C17" s="102"/>
      <c r="D17" s="106"/>
      <c r="E17" s="106"/>
      <c r="F17" s="106"/>
      <c r="G17" s="156"/>
      <c r="H17" s="156"/>
      <c r="I17" s="108"/>
      <c r="J17" s="23">
        <v>3</v>
      </c>
      <c r="K17" s="18">
        <v>3</v>
      </c>
      <c r="L17" s="18">
        <v>3</v>
      </c>
      <c r="M17" s="18">
        <v>3</v>
      </c>
      <c r="N17" s="18">
        <v>4</v>
      </c>
      <c r="O17" s="18">
        <v>3</v>
      </c>
      <c r="P17" s="18">
        <v>2</v>
      </c>
      <c r="Q17" s="18">
        <v>2</v>
      </c>
      <c r="R17" s="18">
        <v>2</v>
      </c>
      <c r="S17" s="18">
        <v>2</v>
      </c>
      <c r="T17" s="18">
        <v>3</v>
      </c>
      <c r="U17" s="18">
        <v>3</v>
      </c>
      <c r="V17" s="18">
        <v>2</v>
      </c>
      <c r="W17" s="18">
        <v>3</v>
      </c>
      <c r="X17" s="18">
        <v>3</v>
      </c>
      <c r="Y17" s="18">
        <v>2</v>
      </c>
      <c r="Z17" s="18">
        <v>2</v>
      </c>
      <c r="AA17" s="18">
        <v>2</v>
      </c>
      <c r="AB17" s="18">
        <v>3</v>
      </c>
      <c r="AC17" s="18">
        <v>3</v>
      </c>
      <c r="AD17" s="18">
        <v>2</v>
      </c>
      <c r="AE17" s="18">
        <v>2</v>
      </c>
      <c r="AF17" s="18">
        <v>4</v>
      </c>
      <c r="AG17" s="18">
        <v>3</v>
      </c>
      <c r="AH17" s="18">
        <v>4</v>
      </c>
      <c r="AI17" s="83">
        <v>2</v>
      </c>
      <c r="AJ17" s="18">
        <v>2</v>
      </c>
      <c r="AK17" s="18">
        <v>3</v>
      </c>
      <c r="AL17" s="18">
        <v>0</v>
      </c>
      <c r="AM17" s="18">
        <v>3</v>
      </c>
      <c r="AN17" s="18">
        <v>2</v>
      </c>
      <c r="AO17" s="18">
        <v>2</v>
      </c>
      <c r="AP17" s="18">
        <v>1</v>
      </c>
      <c r="AQ17" s="18">
        <v>2</v>
      </c>
      <c r="AR17" s="18">
        <v>1</v>
      </c>
      <c r="AS17" s="18">
        <v>4</v>
      </c>
      <c r="AT17" s="24">
        <v>3</v>
      </c>
      <c r="BA17" s="9"/>
      <c r="BB17" s="10">
        <v>7</v>
      </c>
    </row>
    <row r="18" spans="1:54" ht="12.75" hidden="1" customHeight="1" x14ac:dyDescent="0.3">
      <c r="A18" s="134"/>
      <c r="B18" s="101">
        <v>46197</v>
      </c>
      <c r="C18" s="142">
        <v>0.79166666666666663</v>
      </c>
      <c r="D18" s="136" t="s">
        <v>82</v>
      </c>
      <c r="E18" s="105" t="s">
        <v>34</v>
      </c>
      <c r="F18" s="105" t="s">
        <v>33</v>
      </c>
      <c r="G18" s="155">
        <v>1</v>
      </c>
      <c r="H18" s="155">
        <v>0</v>
      </c>
      <c r="I18" s="107" t="str">
        <f t="shared" si="5"/>
        <v>L</v>
      </c>
      <c r="J18" s="26" t="s">
        <v>15</v>
      </c>
      <c r="K18" s="13" t="s">
        <v>15</v>
      </c>
      <c r="L18" s="13" t="s">
        <v>16</v>
      </c>
      <c r="M18" s="13" t="s">
        <v>15</v>
      </c>
      <c r="N18" s="13" t="s">
        <v>15</v>
      </c>
      <c r="O18" s="13" t="s">
        <v>16</v>
      </c>
      <c r="P18" s="13" t="s">
        <v>15</v>
      </c>
      <c r="Q18" s="13" t="s">
        <v>15</v>
      </c>
      <c r="R18" s="13" t="s">
        <v>15</v>
      </c>
      <c r="S18" s="13" t="s">
        <v>15</v>
      </c>
      <c r="T18" s="13" t="s">
        <v>15</v>
      </c>
      <c r="U18" s="13" t="s">
        <v>16</v>
      </c>
      <c r="V18" s="13" t="s">
        <v>15</v>
      </c>
      <c r="W18" s="13" t="s">
        <v>15</v>
      </c>
      <c r="X18" s="13" t="s">
        <v>15</v>
      </c>
      <c r="Y18" s="13" t="s">
        <v>15</v>
      </c>
      <c r="Z18" s="13" t="s">
        <v>15</v>
      </c>
      <c r="AA18" s="13" t="s">
        <v>15</v>
      </c>
      <c r="AB18" s="13" t="s">
        <v>16</v>
      </c>
      <c r="AC18" s="13" t="s">
        <v>15</v>
      </c>
      <c r="AD18" s="13" t="s">
        <v>15</v>
      </c>
      <c r="AE18" s="13" t="s">
        <v>15</v>
      </c>
      <c r="AF18" s="13" t="s">
        <v>15</v>
      </c>
      <c r="AG18" s="13" t="s">
        <v>7</v>
      </c>
      <c r="AH18" s="13" t="s">
        <v>15</v>
      </c>
      <c r="AI18" s="85" t="s">
        <v>16</v>
      </c>
      <c r="AJ18" s="13" t="s">
        <v>15</v>
      </c>
      <c r="AK18" s="13" t="s">
        <v>15</v>
      </c>
      <c r="AL18" s="13" t="s">
        <v>15</v>
      </c>
      <c r="AM18" s="13" t="s">
        <v>15</v>
      </c>
      <c r="AN18" s="13" t="s">
        <v>15</v>
      </c>
      <c r="AO18" s="13" t="s">
        <v>15</v>
      </c>
      <c r="AP18" s="13" t="s">
        <v>15</v>
      </c>
      <c r="AQ18" s="13" t="s">
        <v>16</v>
      </c>
      <c r="AR18" s="13" t="s">
        <v>7</v>
      </c>
      <c r="AS18" s="13" t="s">
        <v>16</v>
      </c>
      <c r="AT18" s="25" t="s">
        <v>16</v>
      </c>
      <c r="BA18" s="9"/>
      <c r="BB18" s="10">
        <v>8</v>
      </c>
    </row>
    <row r="19" spans="1:54" ht="12.75" hidden="1" customHeight="1" x14ac:dyDescent="0.3">
      <c r="A19" s="135"/>
      <c r="B19" s="102"/>
      <c r="C19" s="102"/>
      <c r="D19" s="106"/>
      <c r="E19" s="106"/>
      <c r="F19" s="106"/>
      <c r="G19" s="156"/>
      <c r="H19" s="156"/>
      <c r="I19" s="108"/>
      <c r="J19" s="26">
        <v>3</v>
      </c>
      <c r="K19" s="13">
        <v>2</v>
      </c>
      <c r="L19" s="13">
        <v>2</v>
      </c>
      <c r="M19" s="13">
        <v>3</v>
      </c>
      <c r="N19" s="13">
        <v>3</v>
      </c>
      <c r="O19" s="13">
        <v>0</v>
      </c>
      <c r="P19" s="13">
        <v>2</v>
      </c>
      <c r="Q19" s="13">
        <v>3</v>
      </c>
      <c r="R19" s="13">
        <v>4</v>
      </c>
      <c r="S19" s="13">
        <v>2</v>
      </c>
      <c r="T19" s="13">
        <v>3</v>
      </c>
      <c r="U19" s="13">
        <v>2</v>
      </c>
      <c r="V19" s="13">
        <v>3</v>
      </c>
      <c r="W19" s="13">
        <v>1</v>
      </c>
      <c r="X19" s="13">
        <v>2</v>
      </c>
      <c r="Y19" s="13">
        <v>2</v>
      </c>
      <c r="Z19" s="13">
        <v>2</v>
      </c>
      <c r="AA19" s="13">
        <v>1</v>
      </c>
      <c r="AB19" s="13">
        <v>2</v>
      </c>
      <c r="AC19" s="13">
        <v>2</v>
      </c>
      <c r="AD19" s="13">
        <v>2</v>
      </c>
      <c r="AE19" s="13">
        <v>3</v>
      </c>
      <c r="AF19" s="13">
        <v>2</v>
      </c>
      <c r="AG19" s="13">
        <v>3</v>
      </c>
      <c r="AH19" s="13">
        <v>3</v>
      </c>
      <c r="AI19" s="85">
        <v>2</v>
      </c>
      <c r="AJ19" s="13">
        <v>2</v>
      </c>
      <c r="AK19" s="13">
        <v>3</v>
      </c>
      <c r="AL19" s="13">
        <v>3</v>
      </c>
      <c r="AM19" s="13">
        <v>1</v>
      </c>
      <c r="AN19" s="13">
        <v>2</v>
      </c>
      <c r="AO19" s="13">
        <v>2</v>
      </c>
      <c r="AP19" s="13">
        <v>2</v>
      </c>
      <c r="AQ19" s="13">
        <v>2</v>
      </c>
      <c r="AR19" s="13">
        <v>1</v>
      </c>
      <c r="AS19" s="13">
        <v>2</v>
      </c>
      <c r="AT19" s="25">
        <v>4</v>
      </c>
      <c r="BA19" s="9"/>
      <c r="BB19" s="10">
        <v>9</v>
      </c>
    </row>
    <row r="20" spans="1:54" ht="12.75" hidden="1" customHeight="1" x14ac:dyDescent="0.3">
      <c r="A20" s="157" t="s">
        <v>2</v>
      </c>
      <c r="B20" s="117">
        <v>46185</v>
      </c>
      <c r="C20" s="143">
        <v>0.54166666666666663</v>
      </c>
      <c r="D20" s="137" t="s">
        <v>83</v>
      </c>
      <c r="E20" s="122" t="s">
        <v>35</v>
      </c>
      <c r="F20" s="122" t="s">
        <v>37</v>
      </c>
      <c r="G20" s="153">
        <v>1</v>
      </c>
      <c r="H20" s="153">
        <v>1</v>
      </c>
      <c r="I20" s="115" t="str">
        <f t="shared" si="5"/>
        <v>E</v>
      </c>
      <c r="J20" s="27" t="s">
        <v>7</v>
      </c>
      <c r="K20" s="19" t="s">
        <v>7</v>
      </c>
      <c r="L20" s="19" t="s">
        <v>16</v>
      </c>
      <c r="M20" s="19" t="s">
        <v>7</v>
      </c>
      <c r="N20" s="19" t="s">
        <v>7</v>
      </c>
      <c r="O20" s="19" t="s">
        <v>7</v>
      </c>
      <c r="P20" s="19" t="s">
        <v>7</v>
      </c>
      <c r="Q20" s="19" t="s">
        <v>7</v>
      </c>
      <c r="R20" s="19" t="s">
        <v>7</v>
      </c>
      <c r="S20" s="19" t="s">
        <v>7</v>
      </c>
      <c r="T20" s="19" t="s">
        <v>16</v>
      </c>
      <c r="U20" s="19" t="s">
        <v>7</v>
      </c>
      <c r="V20" s="19" t="s">
        <v>7</v>
      </c>
      <c r="W20" s="19" t="s">
        <v>7</v>
      </c>
      <c r="X20" s="19" t="s">
        <v>7</v>
      </c>
      <c r="Y20" s="19" t="s">
        <v>7</v>
      </c>
      <c r="Z20" s="19" t="s">
        <v>7</v>
      </c>
      <c r="AA20" s="19" t="s">
        <v>7</v>
      </c>
      <c r="AB20" s="19" t="s">
        <v>7</v>
      </c>
      <c r="AC20" s="19" t="s">
        <v>7</v>
      </c>
      <c r="AD20" s="19" t="s">
        <v>7</v>
      </c>
      <c r="AE20" s="19" t="s">
        <v>7</v>
      </c>
      <c r="AF20" s="19" t="s">
        <v>7</v>
      </c>
      <c r="AG20" s="19" t="s">
        <v>16</v>
      </c>
      <c r="AH20" s="19" t="s">
        <v>16</v>
      </c>
      <c r="AI20" s="87" t="s">
        <v>7</v>
      </c>
      <c r="AJ20" s="19" t="s">
        <v>7</v>
      </c>
      <c r="AK20" s="19" t="s">
        <v>16</v>
      </c>
      <c r="AL20" s="19" t="s">
        <v>7</v>
      </c>
      <c r="AM20" s="19" t="s">
        <v>7</v>
      </c>
      <c r="AN20" s="19" t="s">
        <v>7</v>
      </c>
      <c r="AO20" s="19" t="s">
        <v>7</v>
      </c>
      <c r="AP20" s="19" t="s">
        <v>7</v>
      </c>
      <c r="AQ20" s="19" t="s">
        <v>7</v>
      </c>
      <c r="AR20" s="19" t="s">
        <v>7</v>
      </c>
      <c r="AS20" s="19" t="s">
        <v>7</v>
      </c>
      <c r="AT20" s="28" t="s">
        <v>7</v>
      </c>
      <c r="BA20" s="9"/>
      <c r="BB20" s="10">
        <v>10</v>
      </c>
    </row>
    <row r="21" spans="1:54" ht="12.75" hidden="1" customHeight="1" x14ac:dyDescent="0.3">
      <c r="A21" s="158"/>
      <c r="B21" s="118"/>
      <c r="C21" s="118"/>
      <c r="D21" s="123"/>
      <c r="E21" s="123"/>
      <c r="F21" s="123"/>
      <c r="G21" s="154"/>
      <c r="H21" s="154"/>
      <c r="I21" s="116"/>
      <c r="J21" s="27">
        <v>2</v>
      </c>
      <c r="K21" s="19">
        <v>1</v>
      </c>
      <c r="L21" s="19">
        <v>2</v>
      </c>
      <c r="M21" s="19">
        <v>1</v>
      </c>
      <c r="N21" s="19">
        <v>2</v>
      </c>
      <c r="O21" s="19">
        <v>1</v>
      </c>
      <c r="P21" s="19">
        <v>1</v>
      </c>
      <c r="Q21" s="19">
        <v>1</v>
      </c>
      <c r="R21" s="19">
        <v>3</v>
      </c>
      <c r="S21" s="19">
        <v>3</v>
      </c>
      <c r="T21" s="19">
        <v>2</v>
      </c>
      <c r="U21" s="19">
        <v>3</v>
      </c>
      <c r="V21" s="19">
        <v>2</v>
      </c>
      <c r="W21" s="19">
        <v>3</v>
      </c>
      <c r="X21" s="19">
        <v>1</v>
      </c>
      <c r="Y21" s="19">
        <v>2</v>
      </c>
      <c r="Z21" s="19">
        <v>3</v>
      </c>
      <c r="AA21" s="19">
        <v>3</v>
      </c>
      <c r="AB21" s="19">
        <v>3</v>
      </c>
      <c r="AC21" s="19">
        <v>1</v>
      </c>
      <c r="AD21" s="19">
        <v>2</v>
      </c>
      <c r="AE21" s="19">
        <v>3</v>
      </c>
      <c r="AF21" s="19">
        <v>1</v>
      </c>
      <c r="AG21" s="19">
        <v>2</v>
      </c>
      <c r="AH21" s="19">
        <v>2</v>
      </c>
      <c r="AI21" s="87">
        <v>3</v>
      </c>
      <c r="AJ21" s="19">
        <v>1</v>
      </c>
      <c r="AK21" s="19">
        <v>4</v>
      </c>
      <c r="AL21" s="19">
        <v>4</v>
      </c>
      <c r="AM21" s="19">
        <v>2</v>
      </c>
      <c r="AN21" s="19">
        <v>3</v>
      </c>
      <c r="AO21" s="19">
        <v>3</v>
      </c>
      <c r="AP21" s="19">
        <v>2</v>
      </c>
      <c r="AQ21" s="19">
        <v>1</v>
      </c>
      <c r="AR21" s="19">
        <v>2</v>
      </c>
      <c r="AS21" s="19">
        <v>3</v>
      </c>
      <c r="AT21" s="28">
        <v>3</v>
      </c>
      <c r="BA21" s="9"/>
      <c r="BB21" s="10">
        <v>11</v>
      </c>
    </row>
    <row r="22" spans="1:54" ht="12.75" hidden="1" customHeight="1" x14ac:dyDescent="0.3">
      <c r="A22" s="158"/>
      <c r="B22" s="117">
        <v>46186</v>
      </c>
      <c r="C22" s="117" t="s">
        <v>103</v>
      </c>
      <c r="D22" s="145" t="s">
        <v>84</v>
      </c>
      <c r="E22" s="122" t="s">
        <v>36</v>
      </c>
      <c r="F22" s="122" t="s">
        <v>22</v>
      </c>
      <c r="G22" s="153">
        <v>1</v>
      </c>
      <c r="H22" s="153">
        <v>1</v>
      </c>
      <c r="I22" s="115" t="str">
        <f t="shared" si="5"/>
        <v>E</v>
      </c>
      <c r="J22" s="26" t="s">
        <v>15</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16</v>
      </c>
      <c r="AH22" s="13" t="s">
        <v>15</v>
      </c>
      <c r="AI22" s="85"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hidden="1" customHeight="1" x14ac:dyDescent="0.3">
      <c r="A23" s="158"/>
      <c r="B23" s="118"/>
      <c r="C23" s="118"/>
      <c r="D23" s="123"/>
      <c r="E23" s="123"/>
      <c r="F23" s="123"/>
      <c r="G23" s="154"/>
      <c r="H23" s="154"/>
      <c r="I23" s="116"/>
      <c r="J23" s="26">
        <v>2</v>
      </c>
      <c r="K23" s="13">
        <v>2</v>
      </c>
      <c r="L23" s="13">
        <v>2</v>
      </c>
      <c r="M23" s="13">
        <v>2</v>
      </c>
      <c r="N23" s="13">
        <v>3</v>
      </c>
      <c r="O23" s="13">
        <v>2</v>
      </c>
      <c r="P23" s="13">
        <v>2</v>
      </c>
      <c r="Q23" s="13">
        <v>2</v>
      </c>
      <c r="R23" s="13">
        <v>1</v>
      </c>
      <c r="S23" s="13">
        <v>3</v>
      </c>
      <c r="T23" s="13">
        <v>2</v>
      </c>
      <c r="U23" s="13">
        <v>2</v>
      </c>
      <c r="V23" s="13">
        <v>3</v>
      </c>
      <c r="W23" s="13">
        <v>2</v>
      </c>
      <c r="X23" s="13">
        <v>2</v>
      </c>
      <c r="Y23" s="13">
        <v>2</v>
      </c>
      <c r="Z23" s="13">
        <v>3</v>
      </c>
      <c r="AA23" s="13">
        <v>2</v>
      </c>
      <c r="AB23" s="13">
        <v>2</v>
      </c>
      <c r="AC23" s="13">
        <v>2</v>
      </c>
      <c r="AD23" s="13">
        <v>3</v>
      </c>
      <c r="AE23" s="13">
        <v>3</v>
      </c>
      <c r="AF23" s="13">
        <v>2</v>
      </c>
      <c r="AG23" s="13">
        <v>2</v>
      </c>
      <c r="AH23" s="13">
        <v>3</v>
      </c>
      <c r="AI23" s="85">
        <v>2</v>
      </c>
      <c r="AJ23" s="13">
        <v>3</v>
      </c>
      <c r="AK23" s="13">
        <v>3</v>
      </c>
      <c r="AL23" s="13">
        <v>4</v>
      </c>
      <c r="AM23" s="13">
        <v>1</v>
      </c>
      <c r="AN23" s="13">
        <v>4</v>
      </c>
      <c r="AO23" s="13">
        <v>3</v>
      </c>
      <c r="AP23" s="13">
        <v>3</v>
      </c>
      <c r="AQ23" s="13">
        <v>3</v>
      </c>
      <c r="AR23" s="13">
        <v>3</v>
      </c>
      <c r="AS23" s="13">
        <v>4</v>
      </c>
      <c r="AT23" s="25">
        <v>5</v>
      </c>
      <c r="BA23" s="9"/>
      <c r="BB23" s="10">
        <v>13</v>
      </c>
    </row>
    <row r="24" spans="1:54" ht="12.75" hidden="1" customHeight="1" x14ac:dyDescent="0.3">
      <c r="A24" s="158"/>
      <c r="B24" s="117">
        <v>46191</v>
      </c>
      <c r="C24" s="143">
        <v>0.54166666666666663</v>
      </c>
      <c r="D24" s="137" t="s">
        <v>81</v>
      </c>
      <c r="E24" s="122" t="s">
        <v>22</v>
      </c>
      <c r="F24" s="122" t="s">
        <v>37</v>
      </c>
      <c r="G24" s="153">
        <v>4</v>
      </c>
      <c r="H24" s="153">
        <v>1</v>
      </c>
      <c r="I24" s="115" t="str">
        <f t="shared" si="5"/>
        <v>L</v>
      </c>
      <c r="J24" s="27" t="s">
        <v>7</v>
      </c>
      <c r="K24" s="19" t="s">
        <v>7</v>
      </c>
      <c r="L24" s="19" t="s">
        <v>7</v>
      </c>
      <c r="M24" s="19" t="s">
        <v>7</v>
      </c>
      <c r="N24" s="19" t="s">
        <v>7</v>
      </c>
      <c r="O24" s="19" t="s">
        <v>7</v>
      </c>
      <c r="P24" s="19" t="s">
        <v>16</v>
      </c>
      <c r="Q24" s="19" t="s">
        <v>7</v>
      </c>
      <c r="R24" s="19" t="s">
        <v>7</v>
      </c>
      <c r="S24" s="19" t="s">
        <v>7</v>
      </c>
      <c r="T24" s="19" t="s">
        <v>7</v>
      </c>
      <c r="U24" s="19" t="s">
        <v>7</v>
      </c>
      <c r="V24" s="19" t="s">
        <v>7</v>
      </c>
      <c r="W24" s="19" t="s">
        <v>7</v>
      </c>
      <c r="X24" s="19" t="s">
        <v>16</v>
      </c>
      <c r="Y24" s="19" t="s">
        <v>7</v>
      </c>
      <c r="Z24" s="19" t="s">
        <v>7</v>
      </c>
      <c r="AA24" s="19" t="s">
        <v>7</v>
      </c>
      <c r="AB24" s="19" t="s">
        <v>7</v>
      </c>
      <c r="AC24" s="19" t="s">
        <v>16</v>
      </c>
      <c r="AD24" s="19" t="s">
        <v>7</v>
      </c>
      <c r="AE24" s="19" t="s">
        <v>7</v>
      </c>
      <c r="AF24" s="19" t="s">
        <v>7</v>
      </c>
      <c r="AG24" s="19" t="s">
        <v>7</v>
      </c>
      <c r="AH24" s="19" t="s">
        <v>15</v>
      </c>
      <c r="AI24" s="87" t="s">
        <v>7</v>
      </c>
      <c r="AJ24" s="19" t="s">
        <v>16</v>
      </c>
      <c r="AK24" s="19" t="s">
        <v>16</v>
      </c>
      <c r="AL24" s="19" t="s">
        <v>16</v>
      </c>
      <c r="AM24" s="19" t="s">
        <v>7</v>
      </c>
      <c r="AN24" s="19" t="s">
        <v>7</v>
      </c>
      <c r="AO24" s="19" t="s">
        <v>7</v>
      </c>
      <c r="AP24" s="19" t="s">
        <v>7</v>
      </c>
      <c r="AQ24" s="19" t="s">
        <v>7</v>
      </c>
      <c r="AR24" s="19" t="s">
        <v>7</v>
      </c>
      <c r="AS24" s="19" t="s">
        <v>7</v>
      </c>
      <c r="AT24" s="28" t="s">
        <v>7</v>
      </c>
      <c r="BA24" s="9"/>
      <c r="BB24" s="10">
        <v>14</v>
      </c>
    </row>
    <row r="25" spans="1:54" ht="12.75" hidden="1" customHeight="1" x14ac:dyDescent="0.3">
      <c r="A25" s="158"/>
      <c r="B25" s="118"/>
      <c r="C25" s="118"/>
      <c r="D25" s="123"/>
      <c r="E25" s="123"/>
      <c r="F25" s="123"/>
      <c r="G25" s="154"/>
      <c r="H25" s="154"/>
      <c r="I25" s="116"/>
      <c r="J25" s="27">
        <v>3</v>
      </c>
      <c r="K25" s="19">
        <v>3</v>
      </c>
      <c r="L25" s="19">
        <v>3</v>
      </c>
      <c r="M25" s="19">
        <v>3</v>
      </c>
      <c r="N25" s="19">
        <v>3</v>
      </c>
      <c r="O25" s="19">
        <v>3</v>
      </c>
      <c r="P25" s="19">
        <v>2</v>
      </c>
      <c r="Q25" s="19">
        <v>1</v>
      </c>
      <c r="R25" s="19">
        <v>3</v>
      </c>
      <c r="S25" s="19">
        <v>3</v>
      </c>
      <c r="T25" s="19">
        <v>2</v>
      </c>
      <c r="U25" s="19">
        <v>3</v>
      </c>
      <c r="V25" s="19">
        <v>3</v>
      </c>
      <c r="W25" s="19">
        <v>2</v>
      </c>
      <c r="X25" s="19">
        <v>4</v>
      </c>
      <c r="Y25" s="19">
        <v>2</v>
      </c>
      <c r="Z25" s="19">
        <v>3</v>
      </c>
      <c r="AA25" s="19">
        <v>2</v>
      </c>
      <c r="AB25" s="19">
        <v>2</v>
      </c>
      <c r="AC25" s="19">
        <v>4</v>
      </c>
      <c r="AD25" s="19">
        <v>2</v>
      </c>
      <c r="AE25" s="19">
        <v>1</v>
      </c>
      <c r="AF25" s="19">
        <v>3</v>
      </c>
      <c r="AG25" s="19">
        <v>3</v>
      </c>
      <c r="AH25" s="19">
        <v>1</v>
      </c>
      <c r="AI25" s="87">
        <v>2</v>
      </c>
      <c r="AJ25" s="19">
        <v>2</v>
      </c>
      <c r="AK25" s="19">
        <v>2</v>
      </c>
      <c r="AL25" s="19">
        <v>4</v>
      </c>
      <c r="AM25" s="19">
        <v>2</v>
      </c>
      <c r="AN25" s="19">
        <v>4</v>
      </c>
      <c r="AO25" s="19">
        <v>2</v>
      </c>
      <c r="AP25" s="19">
        <v>4</v>
      </c>
      <c r="AQ25" s="19">
        <v>1</v>
      </c>
      <c r="AR25" s="19">
        <v>2</v>
      </c>
      <c r="AS25" s="19">
        <v>4</v>
      </c>
      <c r="AT25" s="28">
        <v>2</v>
      </c>
      <c r="BA25" s="9"/>
      <c r="BB25" s="10">
        <v>15</v>
      </c>
    </row>
    <row r="26" spans="1:54" ht="12.75" hidden="1" customHeight="1" x14ac:dyDescent="0.3">
      <c r="A26" s="158"/>
      <c r="B26" s="117">
        <v>46191</v>
      </c>
      <c r="C26" s="143">
        <v>0.66666666666666663</v>
      </c>
      <c r="D26" s="137" t="s">
        <v>91</v>
      </c>
      <c r="E26" s="122" t="s">
        <v>35</v>
      </c>
      <c r="F26" s="122" t="s">
        <v>36</v>
      </c>
      <c r="G26" s="153">
        <v>6</v>
      </c>
      <c r="H26" s="153">
        <v>0</v>
      </c>
      <c r="I26" s="115" t="str">
        <f t="shared" si="5"/>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85"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hidden="1" customHeight="1" x14ac:dyDescent="0.3">
      <c r="A27" s="158"/>
      <c r="B27" s="118"/>
      <c r="C27" s="118"/>
      <c r="D27" s="123"/>
      <c r="E27" s="123"/>
      <c r="F27" s="123"/>
      <c r="G27" s="154"/>
      <c r="H27" s="154"/>
      <c r="I27" s="116"/>
      <c r="J27" s="26">
        <v>2</v>
      </c>
      <c r="K27" s="13">
        <v>3</v>
      </c>
      <c r="L27" s="13">
        <v>2</v>
      </c>
      <c r="M27" s="13">
        <v>3</v>
      </c>
      <c r="N27" s="13">
        <v>4</v>
      </c>
      <c r="O27" s="13">
        <v>2</v>
      </c>
      <c r="P27" s="13">
        <v>2</v>
      </c>
      <c r="Q27" s="13">
        <v>2</v>
      </c>
      <c r="R27" s="13">
        <v>4</v>
      </c>
      <c r="S27" s="13">
        <v>2</v>
      </c>
      <c r="T27" s="13">
        <v>2</v>
      </c>
      <c r="U27" s="13">
        <v>2</v>
      </c>
      <c r="V27" s="13">
        <v>1</v>
      </c>
      <c r="W27" s="13">
        <v>2</v>
      </c>
      <c r="X27" s="13">
        <v>3</v>
      </c>
      <c r="Y27" s="13">
        <v>2</v>
      </c>
      <c r="Z27" s="13">
        <v>2</v>
      </c>
      <c r="AA27" s="13">
        <v>2</v>
      </c>
      <c r="AB27" s="13">
        <v>3</v>
      </c>
      <c r="AC27" s="13">
        <v>3</v>
      </c>
      <c r="AD27" s="13">
        <v>2</v>
      </c>
      <c r="AE27" s="13">
        <v>3</v>
      </c>
      <c r="AF27" s="13">
        <v>2</v>
      </c>
      <c r="AG27" s="13">
        <v>3</v>
      </c>
      <c r="AH27" s="13">
        <v>2</v>
      </c>
      <c r="AI27" s="85">
        <v>2</v>
      </c>
      <c r="AJ27" s="13">
        <v>3</v>
      </c>
      <c r="AK27" s="13">
        <v>2</v>
      </c>
      <c r="AL27" s="13">
        <v>3</v>
      </c>
      <c r="AM27" s="13">
        <v>3</v>
      </c>
      <c r="AN27" s="13">
        <v>1</v>
      </c>
      <c r="AO27" s="13">
        <v>2</v>
      </c>
      <c r="AP27" s="13">
        <v>1</v>
      </c>
      <c r="AQ27" s="13">
        <v>2</v>
      </c>
      <c r="AR27" s="13">
        <v>3</v>
      </c>
      <c r="AS27" s="13">
        <v>3</v>
      </c>
      <c r="AT27" s="25">
        <v>3</v>
      </c>
      <c r="BA27" s="9"/>
      <c r="BB27" s="10">
        <v>17</v>
      </c>
    </row>
    <row r="28" spans="1:54" ht="12.75" hidden="1" customHeight="1" x14ac:dyDescent="0.3">
      <c r="A28" s="158"/>
      <c r="B28" s="117">
        <v>46197</v>
      </c>
      <c r="C28" s="143">
        <v>0.54166666666666663</v>
      </c>
      <c r="D28" s="137" t="s">
        <v>91</v>
      </c>
      <c r="E28" s="122" t="s">
        <v>22</v>
      </c>
      <c r="F28" s="122" t="s">
        <v>35</v>
      </c>
      <c r="G28" s="153">
        <v>2</v>
      </c>
      <c r="H28" s="153">
        <v>1</v>
      </c>
      <c r="I28" s="115" t="str">
        <f t="shared" si="5"/>
        <v>L</v>
      </c>
      <c r="J28" s="27" t="s">
        <v>7</v>
      </c>
      <c r="K28" s="19" t="s">
        <v>7</v>
      </c>
      <c r="L28" s="19" t="s">
        <v>16</v>
      </c>
      <c r="M28" s="19" t="s">
        <v>16</v>
      </c>
      <c r="N28" s="19" t="s">
        <v>16</v>
      </c>
      <c r="O28" s="19" t="s">
        <v>7</v>
      </c>
      <c r="P28" s="19" t="s">
        <v>16</v>
      </c>
      <c r="Q28" s="19" t="s">
        <v>16</v>
      </c>
      <c r="R28" s="19" t="s">
        <v>16</v>
      </c>
      <c r="S28" s="19" t="s">
        <v>7</v>
      </c>
      <c r="T28" s="19" t="s">
        <v>16</v>
      </c>
      <c r="U28" s="19" t="s">
        <v>16</v>
      </c>
      <c r="V28" s="19" t="s">
        <v>7</v>
      </c>
      <c r="W28" s="19" t="s">
        <v>16</v>
      </c>
      <c r="X28" s="19" t="s">
        <v>16</v>
      </c>
      <c r="Y28" s="19" t="s">
        <v>16</v>
      </c>
      <c r="Z28" s="19" t="s">
        <v>15</v>
      </c>
      <c r="AA28" s="19" t="s">
        <v>7</v>
      </c>
      <c r="AB28" s="19" t="s">
        <v>16</v>
      </c>
      <c r="AC28" s="92" t="s">
        <v>16</v>
      </c>
      <c r="AD28" s="19" t="s">
        <v>15</v>
      </c>
      <c r="AE28" s="19" t="s">
        <v>15</v>
      </c>
      <c r="AF28" s="19" t="s">
        <v>16</v>
      </c>
      <c r="AG28" s="19" t="s">
        <v>7</v>
      </c>
      <c r="AH28" s="19" t="s">
        <v>16</v>
      </c>
      <c r="AI28" s="87" t="s">
        <v>16</v>
      </c>
      <c r="AJ28" s="19" t="s">
        <v>7</v>
      </c>
      <c r="AK28" s="19" t="s">
        <v>16</v>
      </c>
      <c r="AL28" s="19" t="s">
        <v>7</v>
      </c>
      <c r="AM28" s="19" t="s">
        <v>16</v>
      </c>
      <c r="AN28" s="19" t="s">
        <v>7</v>
      </c>
      <c r="AO28" s="19" t="s">
        <v>16</v>
      </c>
      <c r="AP28" s="19" t="s">
        <v>16</v>
      </c>
      <c r="AQ28" s="19" t="s">
        <v>16</v>
      </c>
      <c r="AR28" s="19" t="s">
        <v>16</v>
      </c>
      <c r="AS28" s="19" t="s">
        <v>7</v>
      </c>
      <c r="AT28" s="28" t="s">
        <v>16</v>
      </c>
      <c r="BA28" s="9"/>
      <c r="BB28" s="10">
        <v>18</v>
      </c>
    </row>
    <row r="29" spans="1:54" ht="12.75" hidden="1" customHeight="1" x14ac:dyDescent="0.3">
      <c r="A29" s="158"/>
      <c r="B29" s="118"/>
      <c r="C29" s="118"/>
      <c r="D29" s="123"/>
      <c r="E29" s="123"/>
      <c r="F29" s="123"/>
      <c r="G29" s="154"/>
      <c r="H29" s="154"/>
      <c r="I29" s="116"/>
      <c r="J29" s="27">
        <v>1</v>
      </c>
      <c r="K29" s="19">
        <v>3</v>
      </c>
      <c r="L29" s="19">
        <v>2</v>
      </c>
      <c r="M29" s="19">
        <v>2</v>
      </c>
      <c r="N29" s="19">
        <v>2</v>
      </c>
      <c r="O29" s="19">
        <v>1</v>
      </c>
      <c r="P29" s="19">
        <v>2</v>
      </c>
      <c r="Q29" s="19">
        <v>2</v>
      </c>
      <c r="R29" s="19">
        <v>4</v>
      </c>
      <c r="S29" s="19">
        <v>3</v>
      </c>
      <c r="T29" s="19">
        <v>2</v>
      </c>
      <c r="U29" s="19">
        <v>2</v>
      </c>
      <c r="V29" s="19">
        <v>2</v>
      </c>
      <c r="W29" s="19">
        <v>2</v>
      </c>
      <c r="X29" s="19">
        <v>2</v>
      </c>
      <c r="Y29" s="19">
        <v>1</v>
      </c>
      <c r="Z29" s="19">
        <v>3</v>
      </c>
      <c r="AA29" s="19">
        <v>3</v>
      </c>
      <c r="AB29" s="91">
        <v>2</v>
      </c>
      <c r="AC29" s="93">
        <v>2</v>
      </c>
      <c r="AD29" s="81">
        <v>2</v>
      </c>
      <c r="AE29" s="19">
        <v>3</v>
      </c>
      <c r="AF29" s="19">
        <v>2</v>
      </c>
      <c r="AG29" s="19">
        <v>1</v>
      </c>
      <c r="AH29" s="19">
        <v>2</v>
      </c>
      <c r="AI29" s="87">
        <v>2</v>
      </c>
      <c r="AJ29" s="19">
        <v>2</v>
      </c>
      <c r="AK29" s="19">
        <v>4</v>
      </c>
      <c r="AL29" s="19">
        <v>5</v>
      </c>
      <c r="AM29" s="19">
        <v>4</v>
      </c>
      <c r="AN29" s="19">
        <v>3</v>
      </c>
      <c r="AO29" s="19">
        <v>2</v>
      </c>
      <c r="AP29" s="19">
        <v>2</v>
      </c>
      <c r="AQ29" s="19">
        <v>2</v>
      </c>
      <c r="AR29" s="19">
        <v>4</v>
      </c>
      <c r="AS29" s="19">
        <v>3</v>
      </c>
      <c r="AT29" s="28">
        <v>2</v>
      </c>
      <c r="BA29" s="9"/>
      <c r="BB29" s="10">
        <v>19</v>
      </c>
    </row>
    <row r="30" spans="1:54" ht="12.75" hidden="1" customHeight="1" x14ac:dyDescent="0.3">
      <c r="A30" s="158"/>
      <c r="B30" s="117">
        <v>46197</v>
      </c>
      <c r="C30" s="143">
        <v>0.54166666666666663</v>
      </c>
      <c r="D30" s="137" t="s">
        <v>85</v>
      </c>
      <c r="E30" s="122" t="s">
        <v>37</v>
      </c>
      <c r="F30" s="122" t="s">
        <v>36</v>
      </c>
      <c r="G30" s="153">
        <v>3</v>
      </c>
      <c r="H30" s="153">
        <v>1</v>
      </c>
      <c r="I30" s="115" t="str">
        <f t="shared" si="5"/>
        <v>L</v>
      </c>
      <c r="J30" s="26" t="s">
        <v>7</v>
      </c>
      <c r="K30" s="13" t="s">
        <v>16</v>
      </c>
      <c r="L30" s="13" t="s">
        <v>7</v>
      </c>
      <c r="M30" s="13" t="s">
        <v>7</v>
      </c>
      <c r="N30" s="13" t="s">
        <v>7</v>
      </c>
      <c r="O30" s="13" t="s">
        <v>7</v>
      </c>
      <c r="P30" s="13" t="s">
        <v>7</v>
      </c>
      <c r="Q30" s="13" t="s">
        <v>7</v>
      </c>
      <c r="R30" s="13" t="s">
        <v>16</v>
      </c>
      <c r="S30" s="13" t="s">
        <v>7</v>
      </c>
      <c r="T30" s="13" t="s">
        <v>7</v>
      </c>
      <c r="U30" s="13" t="s">
        <v>16</v>
      </c>
      <c r="V30" s="13" t="s">
        <v>7</v>
      </c>
      <c r="W30" s="13" t="s">
        <v>7</v>
      </c>
      <c r="X30" s="13" t="s">
        <v>7</v>
      </c>
      <c r="Y30" s="13" t="s">
        <v>16</v>
      </c>
      <c r="Z30" s="13" t="s">
        <v>16</v>
      </c>
      <c r="AA30" s="13" t="s">
        <v>7</v>
      </c>
      <c r="AB30" s="13" t="s">
        <v>7</v>
      </c>
      <c r="AC30" s="94" t="s">
        <v>7</v>
      </c>
      <c r="AD30" s="13" t="s">
        <v>7</v>
      </c>
      <c r="AE30" s="13" t="s">
        <v>16</v>
      </c>
      <c r="AF30" s="13" t="s">
        <v>15</v>
      </c>
      <c r="AG30" s="13" t="s">
        <v>16</v>
      </c>
      <c r="AH30" s="13" t="s">
        <v>16</v>
      </c>
      <c r="AI30" s="85" t="s">
        <v>7</v>
      </c>
      <c r="AJ30" s="13" t="s">
        <v>7</v>
      </c>
      <c r="AK30" s="13" t="s">
        <v>7</v>
      </c>
      <c r="AL30" s="13" t="s">
        <v>7</v>
      </c>
      <c r="AM30" s="13" t="s">
        <v>7</v>
      </c>
      <c r="AN30" s="13" t="s">
        <v>16</v>
      </c>
      <c r="AO30" s="13" t="s">
        <v>7</v>
      </c>
      <c r="AP30" s="13" t="s">
        <v>16</v>
      </c>
      <c r="AQ30" s="13" t="s">
        <v>7</v>
      </c>
      <c r="AR30" s="13" t="s">
        <v>16</v>
      </c>
      <c r="AS30" s="13" t="s">
        <v>7</v>
      </c>
      <c r="AT30" s="25" t="s">
        <v>7</v>
      </c>
      <c r="BA30" s="11"/>
      <c r="BB30" s="12">
        <v>20</v>
      </c>
    </row>
    <row r="31" spans="1:54" ht="12.75" hidden="1" customHeight="1" x14ac:dyDescent="0.3">
      <c r="A31" s="159"/>
      <c r="B31" s="118"/>
      <c r="C31" s="118"/>
      <c r="D31" s="123"/>
      <c r="E31" s="123"/>
      <c r="F31" s="123"/>
      <c r="G31" s="154"/>
      <c r="H31" s="154"/>
      <c r="I31" s="116"/>
      <c r="J31" s="26">
        <v>1</v>
      </c>
      <c r="K31" s="13">
        <v>2</v>
      </c>
      <c r="L31" s="13">
        <v>3</v>
      </c>
      <c r="M31" s="13">
        <v>1</v>
      </c>
      <c r="N31" s="13">
        <v>3</v>
      </c>
      <c r="O31" s="13">
        <v>1</v>
      </c>
      <c r="P31" s="13">
        <v>2</v>
      </c>
      <c r="Q31" s="13">
        <v>1</v>
      </c>
      <c r="R31" s="13">
        <v>2</v>
      </c>
      <c r="S31" s="13">
        <v>2</v>
      </c>
      <c r="T31" s="13">
        <v>3</v>
      </c>
      <c r="U31" s="13">
        <v>2</v>
      </c>
      <c r="V31" s="13">
        <v>1</v>
      </c>
      <c r="W31" s="13">
        <v>3</v>
      </c>
      <c r="X31" s="13">
        <v>1</v>
      </c>
      <c r="Y31" s="13">
        <v>1</v>
      </c>
      <c r="Z31" s="13">
        <v>2</v>
      </c>
      <c r="AA31" s="13">
        <v>1</v>
      </c>
      <c r="AB31" s="13">
        <v>3</v>
      </c>
      <c r="AC31" s="13">
        <v>1</v>
      </c>
      <c r="AD31" s="13">
        <v>2</v>
      </c>
      <c r="AE31" s="13">
        <v>2</v>
      </c>
      <c r="AF31" s="13">
        <v>2</v>
      </c>
      <c r="AG31" s="13">
        <v>0</v>
      </c>
      <c r="AH31" s="13">
        <v>4</v>
      </c>
      <c r="AI31" s="85">
        <v>3</v>
      </c>
      <c r="AJ31" s="13">
        <v>3</v>
      </c>
      <c r="AK31" s="13">
        <v>3</v>
      </c>
      <c r="AL31" s="13">
        <v>3</v>
      </c>
      <c r="AM31" s="13">
        <v>1</v>
      </c>
      <c r="AN31" s="13">
        <v>2</v>
      </c>
      <c r="AO31" s="13">
        <v>1</v>
      </c>
      <c r="AP31" s="13">
        <v>0</v>
      </c>
      <c r="AQ31" s="13">
        <v>3</v>
      </c>
      <c r="AR31" s="13">
        <v>0</v>
      </c>
      <c r="AS31" s="13">
        <v>3</v>
      </c>
      <c r="AT31" s="25">
        <v>3</v>
      </c>
    </row>
    <row r="32" spans="1:54" ht="12.75" hidden="1" customHeight="1" x14ac:dyDescent="0.3">
      <c r="A32" s="133" t="s">
        <v>3</v>
      </c>
      <c r="B32" s="101">
        <v>46186</v>
      </c>
      <c r="C32" s="142">
        <v>0.66666666666666663</v>
      </c>
      <c r="D32" s="136" t="s">
        <v>80</v>
      </c>
      <c r="E32" s="105" t="s">
        <v>38</v>
      </c>
      <c r="F32" s="163" t="s">
        <v>40</v>
      </c>
      <c r="G32" s="155">
        <v>1</v>
      </c>
      <c r="H32" s="155">
        <v>1</v>
      </c>
      <c r="I32" s="107" t="str">
        <f t="shared" si="5"/>
        <v>E</v>
      </c>
      <c r="J32" s="23" t="s">
        <v>16</v>
      </c>
      <c r="K32" s="18" t="s">
        <v>7</v>
      </c>
      <c r="L32" s="18" t="s">
        <v>7</v>
      </c>
      <c r="M32" s="18" t="s">
        <v>7</v>
      </c>
      <c r="N32" s="18" t="s">
        <v>7</v>
      </c>
      <c r="O32" s="18" t="s">
        <v>7</v>
      </c>
      <c r="P32" s="18" t="s">
        <v>7</v>
      </c>
      <c r="Q32" s="18" t="s">
        <v>7</v>
      </c>
      <c r="R32" s="18" t="s">
        <v>7</v>
      </c>
      <c r="S32" s="18" t="s">
        <v>7</v>
      </c>
      <c r="T32" s="18" t="s">
        <v>7</v>
      </c>
      <c r="U32" s="18" t="s">
        <v>7</v>
      </c>
      <c r="V32" s="18" t="s">
        <v>7</v>
      </c>
      <c r="W32" s="18" t="s">
        <v>7</v>
      </c>
      <c r="X32" s="18" t="s">
        <v>7</v>
      </c>
      <c r="Y32" s="18" t="s">
        <v>7</v>
      </c>
      <c r="Z32" s="18" t="s">
        <v>7</v>
      </c>
      <c r="AA32" s="18" t="s">
        <v>7</v>
      </c>
      <c r="AB32" s="18" t="s">
        <v>7</v>
      </c>
      <c r="AC32" s="18" t="s">
        <v>7</v>
      </c>
      <c r="AD32" s="18" t="s">
        <v>7</v>
      </c>
      <c r="AE32" s="18" t="s">
        <v>7</v>
      </c>
      <c r="AF32" s="18" t="s">
        <v>7</v>
      </c>
      <c r="AG32" s="18" t="s">
        <v>16</v>
      </c>
      <c r="AH32" s="18" t="s">
        <v>16</v>
      </c>
      <c r="AI32" s="83" t="s">
        <v>7</v>
      </c>
      <c r="AJ32" s="18" t="s">
        <v>16</v>
      </c>
      <c r="AK32" s="18" t="s">
        <v>16</v>
      </c>
      <c r="AL32" s="18" t="s">
        <v>7</v>
      </c>
      <c r="AM32" s="18" t="s">
        <v>15</v>
      </c>
      <c r="AN32" s="18" t="s">
        <v>15</v>
      </c>
      <c r="AO32" s="18" t="s">
        <v>7</v>
      </c>
      <c r="AP32" s="18" t="s">
        <v>15</v>
      </c>
      <c r="AQ32" s="18" t="s">
        <v>7</v>
      </c>
      <c r="AR32" s="18" t="s">
        <v>15</v>
      </c>
      <c r="AS32" s="18" t="s">
        <v>7</v>
      </c>
      <c r="AT32" s="24" t="s">
        <v>7</v>
      </c>
    </row>
    <row r="33" spans="1:46" ht="12.75" hidden="1" customHeight="1" x14ac:dyDescent="0.3">
      <c r="A33" s="134"/>
      <c r="B33" s="102"/>
      <c r="C33" s="102"/>
      <c r="D33" s="106"/>
      <c r="E33" s="106"/>
      <c r="F33" s="139"/>
      <c r="G33" s="156"/>
      <c r="H33" s="156"/>
      <c r="I33" s="108"/>
      <c r="J33" s="23">
        <v>2</v>
      </c>
      <c r="K33" s="18">
        <v>3</v>
      </c>
      <c r="L33" s="18">
        <v>4</v>
      </c>
      <c r="M33" s="18">
        <v>3</v>
      </c>
      <c r="N33" s="18">
        <v>3</v>
      </c>
      <c r="O33" s="18">
        <v>1</v>
      </c>
      <c r="P33" s="18">
        <v>2</v>
      </c>
      <c r="Q33" s="18">
        <v>3</v>
      </c>
      <c r="R33" s="18">
        <v>4</v>
      </c>
      <c r="S33" s="18">
        <v>4</v>
      </c>
      <c r="T33" s="18">
        <v>3</v>
      </c>
      <c r="U33" s="18">
        <v>3</v>
      </c>
      <c r="V33" s="18">
        <v>3</v>
      </c>
      <c r="W33" s="18">
        <v>2</v>
      </c>
      <c r="X33" s="18">
        <v>2</v>
      </c>
      <c r="Y33" s="18">
        <v>2</v>
      </c>
      <c r="Z33" s="18">
        <v>3</v>
      </c>
      <c r="AA33" s="18">
        <v>3</v>
      </c>
      <c r="AB33" s="18">
        <v>3</v>
      </c>
      <c r="AC33" s="18">
        <v>1</v>
      </c>
      <c r="AD33" s="18">
        <v>3</v>
      </c>
      <c r="AE33" s="18">
        <v>3</v>
      </c>
      <c r="AF33" s="18">
        <v>4</v>
      </c>
      <c r="AG33" s="18">
        <v>4</v>
      </c>
      <c r="AH33" s="18">
        <v>2</v>
      </c>
      <c r="AI33" s="83">
        <v>3</v>
      </c>
      <c r="AJ33" s="18">
        <v>2</v>
      </c>
      <c r="AK33" s="18">
        <v>4</v>
      </c>
      <c r="AL33" s="18">
        <v>5</v>
      </c>
      <c r="AM33" s="18">
        <v>3</v>
      </c>
      <c r="AN33" s="18">
        <v>3</v>
      </c>
      <c r="AO33" s="18">
        <v>3</v>
      </c>
      <c r="AP33" s="18">
        <v>3</v>
      </c>
      <c r="AQ33" s="18">
        <v>3</v>
      </c>
      <c r="AR33" s="18">
        <v>3</v>
      </c>
      <c r="AS33" s="18">
        <v>5</v>
      </c>
      <c r="AT33" s="24">
        <v>4</v>
      </c>
    </row>
    <row r="34" spans="1:46" ht="12.75" hidden="1" customHeight="1" x14ac:dyDescent="0.3">
      <c r="A34" s="134"/>
      <c r="B34" s="101">
        <v>46186</v>
      </c>
      <c r="C34" s="142">
        <v>0.79166666666666663</v>
      </c>
      <c r="D34" s="136" t="s">
        <v>79</v>
      </c>
      <c r="E34" s="105" t="s">
        <v>39</v>
      </c>
      <c r="F34" s="105" t="s">
        <v>27</v>
      </c>
      <c r="G34" s="155">
        <v>0</v>
      </c>
      <c r="H34" s="155">
        <v>1</v>
      </c>
      <c r="I34" s="107" t="str">
        <f t="shared" si="5"/>
        <v>V</v>
      </c>
      <c r="J34" s="26" t="s">
        <v>15</v>
      </c>
      <c r="K34" s="13" t="s">
        <v>15</v>
      </c>
      <c r="L34" s="13" t="s">
        <v>15</v>
      </c>
      <c r="M34" s="13" t="s">
        <v>15</v>
      </c>
      <c r="N34" s="13" t="s">
        <v>15</v>
      </c>
      <c r="O34" s="13" t="s">
        <v>7</v>
      </c>
      <c r="P34" s="13" t="s">
        <v>15</v>
      </c>
      <c r="Q34" s="13" t="s">
        <v>15</v>
      </c>
      <c r="R34" s="13" t="s">
        <v>15</v>
      </c>
      <c r="S34" s="13" t="s">
        <v>15</v>
      </c>
      <c r="T34" s="13" t="s">
        <v>15</v>
      </c>
      <c r="U34" s="13" t="s">
        <v>16</v>
      </c>
      <c r="V34" s="13" t="s">
        <v>15</v>
      </c>
      <c r="W34" s="13" t="s">
        <v>15</v>
      </c>
      <c r="X34" s="13" t="s">
        <v>15</v>
      </c>
      <c r="Y34" s="13" t="s">
        <v>16</v>
      </c>
      <c r="Z34" s="13" t="s">
        <v>15</v>
      </c>
      <c r="AA34" s="13" t="s">
        <v>15</v>
      </c>
      <c r="AB34" s="13" t="s">
        <v>15</v>
      </c>
      <c r="AC34" s="13" t="s">
        <v>15</v>
      </c>
      <c r="AD34" s="13" t="s">
        <v>15</v>
      </c>
      <c r="AE34" s="13" t="s">
        <v>16</v>
      </c>
      <c r="AF34" s="13" t="s">
        <v>15</v>
      </c>
      <c r="AG34" s="13" t="s">
        <v>15</v>
      </c>
      <c r="AH34" s="13" t="s">
        <v>15</v>
      </c>
      <c r="AI34" s="85" t="s">
        <v>15</v>
      </c>
      <c r="AJ34" s="13" t="s">
        <v>15</v>
      </c>
      <c r="AK34" s="13" t="s">
        <v>15</v>
      </c>
      <c r="AL34" s="13" t="s">
        <v>15</v>
      </c>
      <c r="AM34" s="13" t="s">
        <v>16</v>
      </c>
      <c r="AN34" s="13" t="s">
        <v>15</v>
      </c>
      <c r="AO34" s="13" t="s">
        <v>15</v>
      </c>
      <c r="AP34" s="13" t="s">
        <v>15</v>
      </c>
      <c r="AQ34" s="13" t="s">
        <v>15</v>
      </c>
      <c r="AR34" s="13" t="s">
        <v>15</v>
      </c>
      <c r="AS34" s="13" t="s">
        <v>15</v>
      </c>
      <c r="AT34" s="25" t="s">
        <v>15</v>
      </c>
    </row>
    <row r="35" spans="1:46" ht="12.75" hidden="1" customHeight="1" x14ac:dyDescent="0.3">
      <c r="A35" s="134"/>
      <c r="B35" s="102"/>
      <c r="C35" s="102"/>
      <c r="D35" s="106"/>
      <c r="E35" s="106"/>
      <c r="F35" s="106"/>
      <c r="G35" s="156"/>
      <c r="H35" s="156"/>
      <c r="I35" s="108"/>
      <c r="J35" s="26">
        <v>2</v>
      </c>
      <c r="K35" s="13">
        <v>3</v>
      </c>
      <c r="L35" s="13">
        <v>2</v>
      </c>
      <c r="M35" s="13">
        <v>3</v>
      </c>
      <c r="N35" s="13">
        <v>3</v>
      </c>
      <c r="O35" s="13">
        <v>1</v>
      </c>
      <c r="P35" s="13">
        <v>2</v>
      </c>
      <c r="Q35" s="13">
        <v>2</v>
      </c>
      <c r="R35" s="13">
        <v>2</v>
      </c>
      <c r="S35" s="13">
        <v>2</v>
      </c>
      <c r="T35" s="13">
        <v>3</v>
      </c>
      <c r="U35" s="13">
        <v>2</v>
      </c>
      <c r="V35" s="13">
        <v>3</v>
      </c>
      <c r="W35" s="13">
        <v>3</v>
      </c>
      <c r="X35" s="13">
        <v>2</v>
      </c>
      <c r="Y35" s="13">
        <v>2</v>
      </c>
      <c r="Z35" s="13">
        <v>3</v>
      </c>
      <c r="AA35" s="13">
        <v>2</v>
      </c>
      <c r="AB35" s="13">
        <v>2</v>
      </c>
      <c r="AC35" s="13">
        <v>2</v>
      </c>
      <c r="AD35" s="13">
        <v>2</v>
      </c>
      <c r="AE35" s="13">
        <v>2</v>
      </c>
      <c r="AF35" s="13">
        <v>3</v>
      </c>
      <c r="AG35" s="13">
        <v>3</v>
      </c>
      <c r="AH35" s="13">
        <v>4</v>
      </c>
      <c r="AI35" s="85">
        <v>2</v>
      </c>
      <c r="AJ35" s="13">
        <v>3</v>
      </c>
      <c r="AK35" s="13">
        <v>3</v>
      </c>
      <c r="AL35" s="13">
        <v>4</v>
      </c>
      <c r="AM35" s="13">
        <v>4</v>
      </c>
      <c r="AN35" s="13">
        <v>1</v>
      </c>
      <c r="AO35" s="13">
        <v>1</v>
      </c>
      <c r="AP35" s="13">
        <v>2</v>
      </c>
      <c r="AQ35" s="13">
        <v>2</v>
      </c>
      <c r="AR35" s="13">
        <v>4</v>
      </c>
      <c r="AS35" s="13">
        <v>4</v>
      </c>
      <c r="AT35" s="25">
        <v>3</v>
      </c>
    </row>
    <row r="36" spans="1:46" ht="12.75" hidden="1" customHeight="1" x14ac:dyDescent="0.3">
      <c r="A36" s="134"/>
      <c r="B36" s="101">
        <v>46192</v>
      </c>
      <c r="C36" s="142">
        <v>0.77083333333333337</v>
      </c>
      <c r="D36" s="136" t="s">
        <v>93</v>
      </c>
      <c r="E36" s="105" t="s">
        <v>38</v>
      </c>
      <c r="F36" s="163" t="s">
        <v>39</v>
      </c>
      <c r="G36" s="155">
        <v>3</v>
      </c>
      <c r="H36" s="155">
        <v>0</v>
      </c>
      <c r="I36" s="107" t="str">
        <f t="shared" si="5"/>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83" t="s">
        <v>7</v>
      </c>
      <c r="AJ36" s="18" t="s">
        <v>7</v>
      </c>
      <c r="AK36" s="18" t="s">
        <v>7</v>
      </c>
      <c r="AL36" s="18" t="s">
        <v>7</v>
      </c>
      <c r="AM36" s="18" t="s">
        <v>7</v>
      </c>
      <c r="AN36" s="18" t="s">
        <v>7</v>
      </c>
      <c r="AO36" s="18" t="s">
        <v>7</v>
      </c>
      <c r="AP36" s="18" t="s">
        <v>7</v>
      </c>
      <c r="AQ36" s="18" t="s">
        <v>7</v>
      </c>
      <c r="AR36" s="18" t="s">
        <v>7</v>
      </c>
      <c r="AS36" s="18" t="s">
        <v>7</v>
      </c>
      <c r="AT36" s="24" t="s">
        <v>7</v>
      </c>
    </row>
    <row r="37" spans="1:46" ht="12.75" hidden="1" customHeight="1" x14ac:dyDescent="0.3">
      <c r="A37" s="134"/>
      <c r="B37" s="102"/>
      <c r="C37" s="102"/>
      <c r="D37" s="106"/>
      <c r="E37" s="106"/>
      <c r="F37" s="139"/>
      <c r="G37" s="156"/>
      <c r="H37" s="156"/>
      <c r="I37" s="108"/>
      <c r="J37" s="23">
        <v>4</v>
      </c>
      <c r="K37" s="18">
        <v>3</v>
      </c>
      <c r="L37" s="18">
        <v>4</v>
      </c>
      <c r="M37" s="18">
        <v>3</v>
      </c>
      <c r="N37" s="18">
        <v>4</v>
      </c>
      <c r="O37" s="18">
        <v>4</v>
      </c>
      <c r="P37" s="18">
        <v>3</v>
      </c>
      <c r="Q37" s="18">
        <v>3</v>
      </c>
      <c r="R37" s="18">
        <v>5</v>
      </c>
      <c r="S37" s="18">
        <v>5</v>
      </c>
      <c r="T37" s="18">
        <v>4</v>
      </c>
      <c r="U37" s="18">
        <v>4</v>
      </c>
      <c r="V37" s="18">
        <v>4</v>
      </c>
      <c r="W37" s="18">
        <v>4</v>
      </c>
      <c r="X37" s="18">
        <v>3</v>
      </c>
      <c r="Y37" s="18">
        <v>3</v>
      </c>
      <c r="Z37" s="18">
        <v>4</v>
      </c>
      <c r="AA37" s="18">
        <v>4</v>
      </c>
      <c r="AB37" s="18">
        <v>4</v>
      </c>
      <c r="AC37" s="18">
        <v>3</v>
      </c>
      <c r="AD37" s="18">
        <v>4</v>
      </c>
      <c r="AE37" s="18">
        <v>3</v>
      </c>
      <c r="AF37" s="18">
        <v>3</v>
      </c>
      <c r="AG37" s="18">
        <v>4</v>
      </c>
      <c r="AH37" s="18">
        <v>5</v>
      </c>
      <c r="AI37" s="83">
        <v>4</v>
      </c>
      <c r="AJ37" s="18">
        <v>4</v>
      </c>
      <c r="AK37" s="18">
        <v>5</v>
      </c>
      <c r="AL37" s="18">
        <v>4</v>
      </c>
      <c r="AM37" s="18">
        <v>5</v>
      </c>
      <c r="AN37" s="18">
        <v>5</v>
      </c>
      <c r="AO37" s="18">
        <v>3</v>
      </c>
      <c r="AP37" s="18">
        <v>4</v>
      </c>
      <c r="AQ37" s="18">
        <v>5</v>
      </c>
      <c r="AR37" s="18">
        <v>2</v>
      </c>
      <c r="AS37" s="18">
        <v>6</v>
      </c>
      <c r="AT37" s="24">
        <v>5</v>
      </c>
    </row>
    <row r="38" spans="1:46" ht="12.75" hidden="1" customHeight="1" x14ac:dyDescent="0.3">
      <c r="A38" s="134"/>
      <c r="B38" s="101">
        <v>46192</v>
      </c>
      <c r="C38" s="142">
        <v>0.66666666666666663</v>
      </c>
      <c r="D38" s="136" t="s">
        <v>79</v>
      </c>
      <c r="E38" s="105" t="s">
        <v>27</v>
      </c>
      <c r="F38" s="105" t="s">
        <v>40</v>
      </c>
      <c r="G38" s="155">
        <v>0</v>
      </c>
      <c r="H38" s="155">
        <v>1</v>
      </c>
      <c r="I38" s="107" t="str">
        <f t="shared" si="5"/>
        <v>V</v>
      </c>
      <c r="J38" s="26" t="s">
        <v>15</v>
      </c>
      <c r="K38" s="13" t="s">
        <v>15</v>
      </c>
      <c r="L38" s="13" t="s">
        <v>16</v>
      </c>
      <c r="M38" s="13" t="s">
        <v>15</v>
      </c>
      <c r="N38" s="13" t="s">
        <v>15</v>
      </c>
      <c r="O38" s="13" t="s">
        <v>15</v>
      </c>
      <c r="P38" s="13" t="s">
        <v>15</v>
      </c>
      <c r="Q38" s="13" t="s">
        <v>15</v>
      </c>
      <c r="R38" s="13" t="s">
        <v>15</v>
      </c>
      <c r="S38" s="13" t="s">
        <v>15</v>
      </c>
      <c r="T38" s="13" t="s">
        <v>16</v>
      </c>
      <c r="U38" s="13" t="s">
        <v>15</v>
      </c>
      <c r="V38" s="13" t="s">
        <v>7</v>
      </c>
      <c r="W38" s="13" t="s">
        <v>16</v>
      </c>
      <c r="X38" s="13" t="s">
        <v>15</v>
      </c>
      <c r="Y38" s="13" t="s">
        <v>15</v>
      </c>
      <c r="Z38" s="13" t="s">
        <v>15</v>
      </c>
      <c r="AA38" s="13" t="s">
        <v>15</v>
      </c>
      <c r="AB38" s="13" t="s">
        <v>16</v>
      </c>
      <c r="AC38" s="13" t="s">
        <v>15</v>
      </c>
      <c r="AD38" s="13" t="s">
        <v>15</v>
      </c>
      <c r="AE38" s="13" t="s">
        <v>16</v>
      </c>
      <c r="AF38" s="13" t="s">
        <v>15</v>
      </c>
      <c r="AG38" s="13" t="s">
        <v>15</v>
      </c>
      <c r="AH38" s="13" t="s">
        <v>15</v>
      </c>
      <c r="AI38" s="85" t="s">
        <v>16</v>
      </c>
      <c r="AJ38" s="13" t="s">
        <v>16</v>
      </c>
      <c r="AK38" s="13" t="s">
        <v>15</v>
      </c>
      <c r="AL38" s="13" t="s">
        <v>15</v>
      </c>
      <c r="AM38" s="13" t="s">
        <v>15</v>
      </c>
      <c r="AN38" s="13" t="s">
        <v>15</v>
      </c>
      <c r="AO38" s="13" t="s">
        <v>15</v>
      </c>
      <c r="AP38" s="13" t="s">
        <v>16</v>
      </c>
      <c r="AQ38" s="13" t="s">
        <v>15</v>
      </c>
      <c r="AR38" s="13" t="s">
        <v>15</v>
      </c>
      <c r="AS38" s="13" t="s">
        <v>7</v>
      </c>
      <c r="AT38" s="25" t="s">
        <v>16</v>
      </c>
    </row>
    <row r="39" spans="1:46" ht="12.75" hidden="1" customHeight="1" x14ac:dyDescent="0.3">
      <c r="A39" s="134"/>
      <c r="B39" s="102"/>
      <c r="C39" s="102"/>
      <c r="D39" s="106"/>
      <c r="E39" s="106"/>
      <c r="F39" s="106"/>
      <c r="G39" s="156"/>
      <c r="H39" s="156"/>
      <c r="I39" s="108"/>
      <c r="J39" s="26">
        <v>1</v>
      </c>
      <c r="K39" s="13">
        <v>3</v>
      </c>
      <c r="L39" s="13">
        <v>2</v>
      </c>
      <c r="M39" s="13">
        <v>1</v>
      </c>
      <c r="N39" s="13">
        <v>3</v>
      </c>
      <c r="O39" s="13">
        <v>1</v>
      </c>
      <c r="P39" s="13">
        <v>2</v>
      </c>
      <c r="Q39" s="13">
        <v>2</v>
      </c>
      <c r="R39" s="13">
        <v>3</v>
      </c>
      <c r="S39" s="13">
        <v>3</v>
      </c>
      <c r="T39" s="13">
        <v>2</v>
      </c>
      <c r="U39" s="13">
        <v>1</v>
      </c>
      <c r="V39" s="13">
        <v>2</v>
      </c>
      <c r="W39" s="13">
        <v>2</v>
      </c>
      <c r="X39" s="13">
        <v>3</v>
      </c>
      <c r="Y39" s="13">
        <v>2</v>
      </c>
      <c r="Z39" s="13">
        <v>3</v>
      </c>
      <c r="AA39" s="13">
        <v>3</v>
      </c>
      <c r="AB39" s="13">
        <v>2</v>
      </c>
      <c r="AC39" s="13">
        <v>3</v>
      </c>
      <c r="AD39" s="13">
        <v>3</v>
      </c>
      <c r="AE39" s="13">
        <v>2</v>
      </c>
      <c r="AF39" s="13">
        <v>2</v>
      </c>
      <c r="AG39" s="13">
        <v>3</v>
      </c>
      <c r="AH39" s="13">
        <v>1</v>
      </c>
      <c r="AI39" s="85">
        <v>2</v>
      </c>
      <c r="AJ39" s="13">
        <v>2</v>
      </c>
      <c r="AK39" s="13">
        <v>3</v>
      </c>
      <c r="AL39" s="13">
        <v>2</v>
      </c>
      <c r="AM39" s="13">
        <v>3</v>
      </c>
      <c r="AN39" s="13">
        <v>3</v>
      </c>
      <c r="AO39" s="13">
        <v>2</v>
      </c>
      <c r="AP39" s="13">
        <v>2</v>
      </c>
      <c r="AQ39" s="13">
        <v>4</v>
      </c>
      <c r="AR39" s="13">
        <v>1</v>
      </c>
      <c r="AS39" s="13">
        <v>4</v>
      </c>
      <c r="AT39" s="25">
        <v>2</v>
      </c>
    </row>
    <row r="40" spans="1:46" ht="12.75" hidden="1" customHeight="1" x14ac:dyDescent="0.3">
      <c r="A40" s="134"/>
      <c r="B40" s="152">
        <v>46197</v>
      </c>
      <c r="C40" s="148">
        <v>0.66666666666666663</v>
      </c>
      <c r="D40" s="138" t="s">
        <v>90</v>
      </c>
      <c r="E40" s="163" t="s">
        <v>27</v>
      </c>
      <c r="F40" s="105" t="s">
        <v>38</v>
      </c>
      <c r="G40" s="155">
        <v>0</v>
      </c>
      <c r="H40" s="155">
        <v>3</v>
      </c>
      <c r="I40" s="107" t="str">
        <f t="shared" si="5"/>
        <v>V</v>
      </c>
      <c r="J40" s="23" t="s">
        <v>15</v>
      </c>
      <c r="K40" s="18" t="s">
        <v>15</v>
      </c>
      <c r="L40" s="18" t="s">
        <v>15</v>
      </c>
      <c r="M40" s="18" t="s">
        <v>15</v>
      </c>
      <c r="N40" s="18" t="s">
        <v>15</v>
      </c>
      <c r="O40" s="18" t="s">
        <v>15</v>
      </c>
      <c r="P40" s="18" t="s">
        <v>15</v>
      </c>
      <c r="Q40" s="18" t="s">
        <v>15</v>
      </c>
      <c r="R40" s="18" t="s">
        <v>15</v>
      </c>
      <c r="S40" s="18" t="s">
        <v>15</v>
      </c>
      <c r="T40" s="18" t="s">
        <v>15</v>
      </c>
      <c r="U40" s="18" t="s">
        <v>16</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83"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hidden="1" customHeight="1" x14ac:dyDescent="0.3">
      <c r="A41" s="134"/>
      <c r="B41" s="149"/>
      <c r="C41" s="149"/>
      <c r="D41" s="139"/>
      <c r="E41" s="139"/>
      <c r="F41" s="106"/>
      <c r="G41" s="156"/>
      <c r="H41" s="156"/>
      <c r="I41" s="108"/>
      <c r="J41" s="23">
        <v>2</v>
      </c>
      <c r="K41" s="18">
        <v>3</v>
      </c>
      <c r="L41" s="18">
        <v>4</v>
      </c>
      <c r="M41" s="18">
        <v>1</v>
      </c>
      <c r="N41" s="18">
        <v>2</v>
      </c>
      <c r="O41" s="18">
        <v>3</v>
      </c>
      <c r="P41" s="18">
        <v>2</v>
      </c>
      <c r="Q41" s="18">
        <v>3</v>
      </c>
      <c r="R41" s="18">
        <v>2</v>
      </c>
      <c r="S41" s="18">
        <v>3</v>
      </c>
      <c r="T41" s="18">
        <v>4</v>
      </c>
      <c r="U41" s="18">
        <v>2</v>
      </c>
      <c r="V41" s="18">
        <v>3</v>
      </c>
      <c r="W41" s="18">
        <v>3</v>
      </c>
      <c r="X41" s="18">
        <v>2</v>
      </c>
      <c r="Y41" s="18">
        <v>2</v>
      </c>
      <c r="Z41" s="18">
        <v>3</v>
      </c>
      <c r="AA41" s="18">
        <v>2</v>
      </c>
      <c r="AB41" s="18">
        <v>3</v>
      </c>
      <c r="AC41" s="18">
        <v>2</v>
      </c>
      <c r="AD41" s="18">
        <v>3</v>
      </c>
      <c r="AE41" s="18">
        <v>4</v>
      </c>
      <c r="AF41" s="18">
        <v>3</v>
      </c>
      <c r="AG41" s="18">
        <v>2</v>
      </c>
      <c r="AH41" s="18">
        <v>2</v>
      </c>
      <c r="AI41" s="83">
        <v>3</v>
      </c>
      <c r="AJ41" s="18">
        <v>3</v>
      </c>
      <c r="AK41" s="18">
        <v>3</v>
      </c>
      <c r="AL41" s="18">
        <v>2</v>
      </c>
      <c r="AM41" s="18">
        <v>3</v>
      </c>
      <c r="AN41" s="18">
        <v>3</v>
      </c>
      <c r="AO41" s="18">
        <v>3</v>
      </c>
      <c r="AP41" s="18">
        <v>3</v>
      </c>
      <c r="AQ41" s="18">
        <v>2</v>
      </c>
      <c r="AR41" s="18">
        <v>2</v>
      </c>
      <c r="AS41" s="18">
        <v>5</v>
      </c>
      <c r="AT41" s="24">
        <v>2</v>
      </c>
    </row>
    <row r="42" spans="1:46" ht="12.75" hidden="1" customHeight="1" x14ac:dyDescent="0.3">
      <c r="A42" s="134"/>
      <c r="B42" s="101">
        <v>46197</v>
      </c>
      <c r="C42" s="142">
        <v>0.66666666666666663</v>
      </c>
      <c r="D42" s="136" t="s">
        <v>89</v>
      </c>
      <c r="E42" s="105" t="s">
        <v>40</v>
      </c>
      <c r="F42" s="105" t="s">
        <v>39</v>
      </c>
      <c r="G42" s="155">
        <v>4</v>
      </c>
      <c r="H42" s="155">
        <v>2</v>
      </c>
      <c r="I42" s="107" t="str">
        <f t="shared" si="5"/>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85" t="s">
        <v>7</v>
      </c>
      <c r="AJ42" s="13" t="s">
        <v>7</v>
      </c>
      <c r="AK42" s="13" t="s">
        <v>7</v>
      </c>
      <c r="AL42" s="13" t="s">
        <v>7</v>
      </c>
      <c r="AM42" s="13" t="s">
        <v>7</v>
      </c>
      <c r="AN42" s="13" t="s">
        <v>7</v>
      </c>
      <c r="AO42" s="13" t="s">
        <v>7</v>
      </c>
      <c r="AP42" s="13" t="s">
        <v>7</v>
      </c>
      <c r="AQ42" s="13" t="s">
        <v>7</v>
      </c>
      <c r="AR42" s="13" t="s">
        <v>7</v>
      </c>
      <c r="AS42" s="13" t="s">
        <v>7</v>
      </c>
      <c r="AT42" s="25" t="s">
        <v>16</v>
      </c>
    </row>
    <row r="43" spans="1:46" ht="12.75" hidden="1" customHeight="1" x14ac:dyDescent="0.3">
      <c r="A43" s="135"/>
      <c r="B43" s="102"/>
      <c r="C43" s="102"/>
      <c r="D43" s="106"/>
      <c r="E43" s="106"/>
      <c r="F43" s="106"/>
      <c r="G43" s="156"/>
      <c r="H43" s="156"/>
      <c r="I43" s="108"/>
      <c r="J43" s="26">
        <v>2</v>
      </c>
      <c r="K43" s="13">
        <v>3</v>
      </c>
      <c r="L43" s="13">
        <v>2</v>
      </c>
      <c r="M43" s="13">
        <v>3</v>
      </c>
      <c r="N43" s="13">
        <v>3</v>
      </c>
      <c r="O43" s="13">
        <v>1</v>
      </c>
      <c r="P43" s="13">
        <v>3</v>
      </c>
      <c r="Q43" s="13">
        <v>3</v>
      </c>
      <c r="R43" s="13">
        <v>4</v>
      </c>
      <c r="S43" s="13">
        <v>3</v>
      </c>
      <c r="T43" s="13">
        <v>3</v>
      </c>
      <c r="U43" s="13">
        <v>2</v>
      </c>
      <c r="V43" s="13">
        <v>4</v>
      </c>
      <c r="W43" s="13">
        <v>3</v>
      </c>
      <c r="X43" s="13">
        <v>3</v>
      </c>
      <c r="Y43" s="13">
        <v>3</v>
      </c>
      <c r="Z43" s="13">
        <v>2</v>
      </c>
      <c r="AA43" s="13">
        <v>3</v>
      </c>
      <c r="AB43" s="13">
        <v>3</v>
      </c>
      <c r="AC43" s="13">
        <v>3</v>
      </c>
      <c r="AD43" s="13">
        <v>2</v>
      </c>
      <c r="AE43" s="13">
        <v>3</v>
      </c>
      <c r="AF43" s="13">
        <v>4</v>
      </c>
      <c r="AG43" s="13">
        <v>5</v>
      </c>
      <c r="AH43" s="13">
        <v>3</v>
      </c>
      <c r="AI43" s="85">
        <v>2</v>
      </c>
      <c r="AJ43" s="13">
        <v>3</v>
      </c>
      <c r="AK43" s="13">
        <v>3</v>
      </c>
      <c r="AL43" s="13">
        <v>4</v>
      </c>
      <c r="AM43" s="13">
        <v>4</v>
      </c>
      <c r="AN43" s="13">
        <v>5</v>
      </c>
      <c r="AO43" s="13">
        <v>3</v>
      </c>
      <c r="AP43" s="13">
        <v>3</v>
      </c>
      <c r="AQ43" s="13">
        <v>4</v>
      </c>
      <c r="AR43" s="13">
        <v>2</v>
      </c>
      <c r="AS43" s="13">
        <v>3</v>
      </c>
      <c r="AT43" s="25">
        <v>4</v>
      </c>
    </row>
    <row r="44" spans="1:46" ht="12.75" hidden="1" customHeight="1" x14ac:dyDescent="0.3">
      <c r="A44" s="157" t="s">
        <v>4</v>
      </c>
      <c r="B44" s="117">
        <v>46185</v>
      </c>
      <c r="C44" s="143">
        <v>0.79166666666666663</v>
      </c>
      <c r="D44" s="137" t="s">
        <v>81</v>
      </c>
      <c r="E44" s="122" t="s">
        <v>41</v>
      </c>
      <c r="F44" s="122" t="s">
        <v>43</v>
      </c>
      <c r="G44" s="153">
        <v>4</v>
      </c>
      <c r="H44" s="153">
        <v>1</v>
      </c>
      <c r="I44" s="115" t="str">
        <f t="shared" si="5"/>
        <v>L</v>
      </c>
      <c r="J44" s="27" t="s">
        <v>7</v>
      </c>
      <c r="K44" s="19" t="s">
        <v>16</v>
      </c>
      <c r="L44" s="19" t="s">
        <v>7</v>
      </c>
      <c r="M44" s="19" t="s">
        <v>7</v>
      </c>
      <c r="N44" s="19" t="s">
        <v>16</v>
      </c>
      <c r="O44" s="19" t="s">
        <v>16</v>
      </c>
      <c r="P44" s="19" t="s">
        <v>7</v>
      </c>
      <c r="Q44" s="19" t="s">
        <v>15</v>
      </c>
      <c r="R44" s="19" t="s">
        <v>7</v>
      </c>
      <c r="S44" s="19" t="s">
        <v>7</v>
      </c>
      <c r="T44" s="19" t="s">
        <v>7</v>
      </c>
      <c r="U44" s="19" t="s">
        <v>7</v>
      </c>
      <c r="V44" s="19" t="s">
        <v>7</v>
      </c>
      <c r="W44" s="19" t="s">
        <v>7</v>
      </c>
      <c r="X44" s="19" t="s">
        <v>15</v>
      </c>
      <c r="Y44" s="19" t="s">
        <v>16</v>
      </c>
      <c r="Z44" s="19" t="s">
        <v>7</v>
      </c>
      <c r="AA44" s="19" t="s">
        <v>7</v>
      </c>
      <c r="AB44" s="19" t="s">
        <v>7</v>
      </c>
      <c r="AC44" s="19" t="s">
        <v>15</v>
      </c>
      <c r="AD44" s="19" t="s">
        <v>7</v>
      </c>
      <c r="AE44" s="19" t="s">
        <v>7</v>
      </c>
      <c r="AF44" s="19" t="s">
        <v>16</v>
      </c>
      <c r="AG44" s="19" t="s">
        <v>7</v>
      </c>
      <c r="AH44" s="19" t="s">
        <v>16</v>
      </c>
      <c r="AI44" s="87" t="s">
        <v>7</v>
      </c>
      <c r="AJ44" s="19" t="s">
        <v>16</v>
      </c>
      <c r="AK44" s="19" t="s">
        <v>7</v>
      </c>
      <c r="AL44" s="19" t="s">
        <v>15</v>
      </c>
      <c r="AM44" s="19" t="s">
        <v>7</v>
      </c>
      <c r="AN44" s="19" t="s">
        <v>7</v>
      </c>
      <c r="AO44" s="19" t="s">
        <v>7</v>
      </c>
      <c r="AP44" s="19" t="s">
        <v>7</v>
      </c>
      <c r="AQ44" s="19" t="s">
        <v>7</v>
      </c>
      <c r="AR44" s="19" t="s">
        <v>16</v>
      </c>
      <c r="AS44" s="19" t="s">
        <v>7</v>
      </c>
      <c r="AT44" s="28" t="s">
        <v>15</v>
      </c>
    </row>
    <row r="45" spans="1:46" ht="12.75" hidden="1" customHeight="1" x14ac:dyDescent="0.3">
      <c r="A45" s="158"/>
      <c r="B45" s="118"/>
      <c r="C45" s="118"/>
      <c r="D45" s="123"/>
      <c r="E45" s="123"/>
      <c r="F45" s="123"/>
      <c r="G45" s="154"/>
      <c r="H45" s="154"/>
      <c r="I45" s="116"/>
      <c r="J45" s="27">
        <v>2</v>
      </c>
      <c r="K45" s="19">
        <v>4</v>
      </c>
      <c r="L45" s="19">
        <v>3</v>
      </c>
      <c r="M45" s="19">
        <v>3</v>
      </c>
      <c r="N45" s="19">
        <v>2</v>
      </c>
      <c r="O45" s="19">
        <v>2</v>
      </c>
      <c r="P45" s="19">
        <v>2</v>
      </c>
      <c r="Q45" s="19">
        <v>3</v>
      </c>
      <c r="R45" s="19">
        <v>3</v>
      </c>
      <c r="S45" s="19">
        <v>2</v>
      </c>
      <c r="T45" s="19">
        <v>3</v>
      </c>
      <c r="U45" s="19">
        <v>3</v>
      </c>
      <c r="V45" s="19">
        <v>2</v>
      </c>
      <c r="W45" s="19">
        <v>3</v>
      </c>
      <c r="X45" s="19">
        <v>3</v>
      </c>
      <c r="Y45" s="19">
        <v>2</v>
      </c>
      <c r="Z45" s="19">
        <v>3</v>
      </c>
      <c r="AA45" s="19">
        <v>3</v>
      </c>
      <c r="AB45" s="19">
        <v>3</v>
      </c>
      <c r="AC45" s="19">
        <v>3</v>
      </c>
      <c r="AD45" s="19">
        <v>3</v>
      </c>
      <c r="AE45" s="19">
        <v>4</v>
      </c>
      <c r="AF45" s="19">
        <v>2</v>
      </c>
      <c r="AG45" s="19">
        <v>1</v>
      </c>
      <c r="AH45" s="19">
        <v>2</v>
      </c>
      <c r="AI45" s="87">
        <v>2</v>
      </c>
      <c r="AJ45" s="19">
        <v>2</v>
      </c>
      <c r="AK45" s="19">
        <v>4</v>
      </c>
      <c r="AL45" s="19">
        <v>3</v>
      </c>
      <c r="AM45" s="19">
        <v>5</v>
      </c>
      <c r="AN45" s="19">
        <v>3</v>
      </c>
      <c r="AO45" s="19">
        <v>2</v>
      </c>
      <c r="AP45" s="19">
        <v>3</v>
      </c>
      <c r="AQ45" s="19">
        <v>2</v>
      </c>
      <c r="AR45" s="19">
        <v>4</v>
      </c>
      <c r="AS45" s="19">
        <v>3</v>
      </c>
      <c r="AT45" s="28">
        <v>3</v>
      </c>
    </row>
    <row r="46" spans="1:46" ht="12.75" hidden="1" customHeight="1" x14ac:dyDescent="0.3">
      <c r="A46" s="158"/>
      <c r="B46" s="117">
        <v>46186</v>
      </c>
      <c r="C46" s="143">
        <v>0.91666666666666663</v>
      </c>
      <c r="D46" s="137" t="s">
        <v>91</v>
      </c>
      <c r="E46" s="122" t="s">
        <v>42</v>
      </c>
      <c r="F46" s="162" t="s">
        <v>30</v>
      </c>
      <c r="G46" s="153">
        <v>2</v>
      </c>
      <c r="H46" s="153">
        <v>0</v>
      </c>
      <c r="I46" s="115" t="str">
        <f t="shared" si="5"/>
        <v>L</v>
      </c>
      <c r="J46" s="26" t="s">
        <v>15</v>
      </c>
      <c r="K46" s="13" t="s">
        <v>15</v>
      </c>
      <c r="L46" s="13" t="s">
        <v>16</v>
      </c>
      <c r="M46" s="13" t="s">
        <v>15</v>
      </c>
      <c r="N46" s="13" t="s">
        <v>15</v>
      </c>
      <c r="O46" s="13" t="s">
        <v>15</v>
      </c>
      <c r="P46" s="13" t="s">
        <v>15</v>
      </c>
      <c r="Q46" s="13" t="s">
        <v>15</v>
      </c>
      <c r="R46" s="13" t="s">
        <v>16</v>
      </c>
      <c r="S46" s="13" t="s">
        <v>15</v>
      </c>
      <c r="T46" s="13" t="s">
        <v>15</v>
      </c>
      <c r="U46" s="13" t="s">
        <v>15</v>
      </c>
      <c r="V46" s="13" t="s">
        <v>15</v>
      </c>
      <c r="W46" s="13" t="s">
        <v>16</v>
      </c>
      <c r="X46" s="13" t="s">
        <v>16</v>
      </c>
      <c r="Y46" s="13" t="s">
        <v>7</v>
      </c>
      <c r="Z46" s="13" t="s">
        <v>16</v>
      </c>
      <c r="AA46" s="13" t="s">
        <v>15</v>
      </c>
      <c r="AB46" s="13" t="s">
        <v>15</v>
      </c>
      <c r="AC46" s="13" t="s">
        <v>16</v>
      </c>
      <c r="AD46" s="13" t="s">
        <v>15</v>
      </c>
      <c r="AE46" s="13" t="s">
        <v>7</v>
      </c>
      <c r="AF46" s="13" t="s">
        <v>16</v>
      </c>
      <c r="AG46" s="13" t="s">
        <v>15</v>
      </c>
      <c r="AH46" s="13" t="s">
        <v>15</v>
      </c>
      <c r="AI46" s="85" t="s">
        <v>16</v>
      </c>
      <c r="AJ46" s="13" t="s">
        <v>15</v>
      </c>
      <c r="AK46" s="13" t="s">
        <v>15</v>
      </c>
      <c r="AL46" s="13" t="s">
        <v>15</v>
      </c>
      <c r="AM46" s="13" t="s">
        <v>15</v>
      </c>
      <c r="AN46" s="13" t="s">
        <v>16</v>
      </c>
      <c r="AO46" s="13" t="s">
        <v>15</v>
      </c>
      <c r="AP46" s="13" t="s">
        <v>15</v>
      </c>
      <c r="AQ46" s="13" t="s">
        <v>16</v>
      </c>
      <c r="AR46" s="13" t="s">
        <v>15</v>
      </c>
      <c r="AS46" s="13" t="s">
        <v>15</v>
      </c>
      <c r="AT46" s="25" t="s">
        <v>7</v>
      </c>
    </row>
    <row r="47" spans="1:46" ht="12.75" hidden="1" customHeight="1" x14ac:dyDescent="0.3">
      <c r="A47" s="158"/>
      <c r="B47" s="118"/>
      <c r="C47" s="118"/>
      <c r="D47" s="123"/>
      <c r="E47" s="123"/>
      <c r="F47" s="141"/>
      <c r="G47" s="154"/>
      <c r="H47" s="154"/>
      <c r="I47" s="116"/>
      <c r="J47" s="26">
        <v>2</v>
      </c>
      <c r="K47" s="13">
        <v>3</v>
      </c>
      <c r="L47" s="13">
        <v>2</v>
      </c>
      <c r="M47" s="13">
        <v>3</v>
      </c>
      <c r="N47" s="13">
        <v>3</v>
      </c>
      <c r="O47" s="13">
        <v>3</v>
      </c>
      <c r="P47" s="13">
        <v>1</v>
      </c>
      <c r="Q47" s="13">
        <v>3</v>
      </c>
      <c r="R47" s="13">
        <v>2</v>
      </c>
      <c r="S47" s="13">
        <v>1</v>
      </c>
      <c r="T47" s="13">
        <v>3</v>
      </c>
      <c r="U47" s="13">
        <v>3</v>
      </c>
      <c r="V47" s="13">
        <v>2</v>
      </c>
      <c r="W47" s="13">
        <v>2</v>
      </c>
      <c r="X47" s="13">
        <v>2</v>
      </c>
      <c r="Y47" s="13">
        <v>2</v>
      </c>
      <c r="Z47" s="13">
        <v>2</v>
      </c>
      <c r="AA47" s="13">
        <v>3</v>
      </c>
      <c r="AB47" s="13">
        <v>2</v>
      </c>
      <c r="AC47" s="13">
        <v>0</v>
      </c>
      <c r="AD47" s="13">
        <v>3</v>
      </c>
      <c r="AE47" s="13">
        <v>3</v>
      </c>
      <c r="AF47" s="13">
        <v>4</v>
      </c>
      <c r="AG47" s="13">
        <v>2</v>
      </c>
      <c r="AH47" s="13">
        <v>2</v>
      </c>
      <c r="AI47" s="85">
        <v>2</v>
      </c>
      <c r="AJ47" s="13">
        <v>3</v>
      </c>
      <c r="AK47" s="13">
        <v>3</v>
      </c>
      <c r="AL47" s="13">
        <v>4</v>
      </c>
      <c r="AM47" s="13">
        <v>3</v>
      </c>
      <c r="AN47" s="13">
        <v>2</v>
      </c>
      <c r="AO47" s="13">
        <v>3</v>
      </c>
      <c r="AP47" s="13">
        <v>3</v>
      </c>
      <c r="AQ47" s="13">
        <v>2</v>
      </c>
      <c r="AR47" s="13">
        <v>3</v>
      </c>
      <c r="AS47" s="13">
        <v>3</v>
      </c>
      <c r="AT47" s="25">
        <v>3</v>
      </c>
    </row>
    <row r="48" spans="1:46" ht="12.75" hidden="1" customHeight="1" x14ac:dyDescent="0.3">
      <c r="A48" s="158"/>
      <c r="B48" s="117">
        <v>46192</v>
      </c>
      <c r="C48" s="143">
        <v>0.875</v>
      </c>
      <c r="D48" s="137" t="s">
        <v>84</v>
      </c>
      <c r="E48" s="122" t="s">
        <v>30</v>
      </c>
      <c r="F48" s="162" t="s">
        <v>43</v>
      </c>
      <c r="G48" s="153">
        <v>0</v>
      </c>
      <c r="H48" s="153">
        <v>1</v>
      </c>
      <c r="I48" s="115" t="str">
        <f t="shared" si="5"/>
        <v>V</v>
      </c>
      <c r="J48" s="27" t="s">
        <v>7</v>
      </c>
      <c r="K48" s="19" t="s">
        <v>16</v>
      </c>
      <c r="L48" s="19" t="s">
        <v>7</v>
      </c>
      <c r="M48" s="19" t="s">
        <v>7</v>
      </c>
      <c r="N48" s="19" t="s">
        <v>15</v>
      </c>
      <c r="O48" s="19" t="s">
        <v>7</v>
      </c>
      <c r="P48" s="19" t="s">
        <v>15</v>
      </c>
      <c r="Q48" s="19" t="s">
        <v>7</v>
      </c>
      <c r="R48" s="19" t="s">
        <v>15</v>
      </c>
      <c r="S48" s="19" t="s">
        <v>16</v>
      </c>
      <c r="T48" s="19" t="s">
        <v>7</v>
      </c>
      <c r="U48" s="19" t="s">
        <v>7</v>
      </c>
      <c r="V48" s="19" t="s">
        <v>7</v>
      </c>
      <c r="W48" s="19" t="s">
        <v>7</v>
      </c>
      <c r="X48" s="19" t="s">
        <v>16</v>
      </c>
      <c r="Y48" s="19" t="s">
        <v>15</v>
      </c>
      <c r="Z48" s="19" t="s">
        <v>16</v>
      </c>
      <c r="AA48" s="19" t="s">
        <v>7</v>
      </c>
      <c r="AB48" s="19" t="s">
        <v>7</v>
      </c>
      <c r="AC48" s="19" t="s">
        <v>16</v>
      </c>
      <c r="AD48" s="19" t="s">
        <v>7</v>
      </c>
      <c r="AE48" s="19" t="s">
        <v>16</v>
      </c>
      <c r="AF48" s="19" t="s">
        <v>15</v>
      </c>
      <c r="AG48" s="19" t="s">
        <v>16</v>
      </c>
      <c r="AH48" s="19" t="s">
        <v>16</v>
      </c>
      <c r="AI48" s="87" t="s">
        <v>7</v>
      </c>
      <c r="AJ48" s="19" t="s">
        <v>7</v>
      </c>
      <c r="AK48" s="19" t="s">
        <v>7</v>
      </c>
      <c r="AL48" s="19" t="s">
        <v>16</v>
      </c>
      <c r="AM48" s="19" t="s">
        <v>7</v>
      </c>
      <c r="AN48" s="19" t="s">
        <v>16</v>
      </c>
      <c r="AO48" s="19" t="s">
        <v>16</v>
      </c>
      <c r="AP48" s="19" t="s">
        <v>16</v>
      </c>
      <c r="AQ48" s="19" t="s">
        <v>16</v>
      </c>
      <c r="AR48" s="19" t="s">
        <v>7</v>
      </c>
      <c r="AS48" s="19" t="s">
        <v>16</v>
      </c>
      <c r="AT48" s="28" t="s">
        <v>15</v>
      </c>
    </row>
    <row r="49" spans="1:46" ht="12.75" hidden="1" customHeight="1" x14ac:dyDescent="0.3">
      <c r="A49" s="158"/>
      <c r="B49" s="118"/>
      <c r="C49" s="118"/>
      <c r="D49" s="123"/>
      <c r="E49" s="123"/>
      <c r="F49" s="141"/>
      <c r="G49" s="154"/>
      <c r="H49" s="154"/>
      <c r="I49" s="116"/>
      <c r="J49" s="27">
        <v>3</v>
      </c>
      <c r="K49" s="19">
        <v>2</v>
      </c>
      <c r="L49" s="19">
        <v>3</v>
      </c>
      <c r="M49" s="19">
        <v>1</v>
      </c>
      <c r="N49" s="19">
        <v>2</v>
      </c>
      <c r="O49" s="19">
        <v>2</v>
      </c>
      <c r="P49" s="19">
        <v>2</v>
      </c>
      <c r="Q49" s="19">
        <v>2</v>
      </c>
      <c r="R49" s="19">
        <v>1</v>
      </c>
      <c r="S49" s="19">
        <v>2</v>
      </c>
      <c r="T49" s="19">
        <v>3</v>
      </c>
      <c r="U49" s="19">
        <v>1</v>
      </c>
      <c r="V49" s="19">
        <v>2</v>
      </c>
      <c r="W49" s="19">
        <v>3</v>
      </c>
      <c r="X49" s="19">
        <v>2</v>
      </c>
      <c r="Y49" s="19">
        <v>2</v>
      </c>
      <c r="Z49" s="19">
        <v>0</v>
      </c>
      <c r="AA49" s="19">
        <v>3</v>
      </c>
      <c r="AB49" s="19">
        <v>2</v>
      </c>
      <c r="AC49" s="19">
        <v>2</v>
      </c>
      <c r="AD49" s="19">
        <v>2</v>
      </c>
      <c r="AE49" s="19">
        <v>2</v>
      </c>
      <c r="AF49" s="19">
        <v>1</v>
      </c>
      <c r="AG49" s="19">
        <v>2</v>
      </c>
      <c r="AH49" s="19">
        <v>2</v>
      </c>
      <c r="AI49" s="87">
        <v>2</v>
      </c>
      <c r="AJ49" s="19">
        <v>1</v>
      </c>
      <c r="AK49" s="19">
        <v>3</v>
      </c>
      <c r="AL49" s="19">
        <v>2</v>
      </c>
      <c r="AM49" s="19">
        <v>3</v>
      </c>
      <c r="AN49" s="19">
        <v>2</v>
      </c>
      <c r="AO49" s="19">
        <v>1</v>
      </c>
      <c r="AP49" s="19">
        <v>2</v>
      </c>
      <c r="AQ49" s="19">
        <v>2</v>
      </c>
      <c r="AR49" s="19">
        <v>2</v>
      </c>
      <c r="AS49" s="19">
        <v>2</v>
      </c>
      <c r="AT49" s="28">
        <v>2</v>
      </c>
    </row>
    <row r="50" spans="1:46" ht="12.75" hidden="1" customHeight="1" x14ac:dyDescent="0.3">
      <c r="A50" s="158"/>
      <c r="B50" s="117">
        <v>46192</v>
      </c>
      <c r="C50" s="143">
        <v>0.54166666666666663</v>
      </c>
      <c r="D50" s="137" t="s">
        <v>85</v>
      </c>
      <c r="E50" s="122" t="s">
        <v>41</v>
      </c>
      <c r="F50" s="122" t="s">
        <v>42</v>
      </c>
      <c r="G50" s="153">
        <v>2</v>
      </c>
      <c r="H50" s="153">
        <v>0</v>
      </c>
      <c r="I50" s="115" t="str">
        <f t="shared" si="5"/>
        <v>L</v>
      </c>
      <c r="J50" s="26" t="s">
        <v>7</v>
      </c>
      <c r="K50" s="13" t="s">
        <v>7</v>
      </c>
      <c r="L50" s="13" t="s">
        <v>7</v>
      </c>
      <c r="M50" s="13" t="s">
        <v>7</v>
      </c>
      <c r="N50" s="13" t="s">
        <v>7</v>
      </c>
      <c r="O50" s="13" t="s">
        <v>16</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85" t="s">
        <v>7</v>
      </c>
      <c r="AJ50" s="13" t="s">
        <v>7</v>
      </c>
      <c r="AK50" s="13" t="s">
        <v>7</v>
      </c>
      <c r="AL50" s="13" t="s">
        <v>7</v>
      </c>
      <c r="AM50" s="13" t="s">
        <v>7</v>
      </c>
      <c r="AN50" s="13" t="s">
        <v>7</v>
      </c>
      <c r="AO50" s="13" t="s">
        <v>7</v>
      </c>
      <c r="AP50" s="13" t="s">
        <v>16</v>
      </c>
      <c r="AQ50" s="13" t="s">
        <v>7</v>
      </c>
      <c r="AR50" s="13" t="s">
        <v>7</v>
      </c>
      <c r="AS50" s="13" t="s">
        <v>7</v>
      </c>
      <c r="AT50" s="25" t="s">
        <v>16</v>
      </c>
    </row>
    <row r="51" spans="1:46" ht="12.75" hidden="1" customHeight="1" x14ac:dyDescent="0.3">
      <c r="A51" s="158"/>
      <c r="B51" s="118"/>
      <c r="C51" s="118"/>
      <c r="D51" s="123"/>
      <c r="E51" s="123"/>
      <c r="F51" s="123"/>
      <c r="G51" s="154"/>
      <c r="H51" s="154"/>
      <c r="I51" s="116"/>
      <c r="J51" s="26">
        <v>2</v>
      </c>
      <c r="K51" s="13">
        <v>3</v>
      </c>
      <c r="L51" s="13">
        <v>3</v>
      </c>
      <c r="M51" s="13">
        <v>2</v>
      </c>
      <c r="N51" s="13">
        <v>3</v>
      </c>
      <c r="O51" s="13">
        <v>2</v>
      </c>
      <c r="P51" s="13">
        <v>2</v>
      </c>
      <c r="Q51" s="13">
        <v>3</v>
      </c>
      <c r="R51" s="13">
        <v>2</v>
      </c>
      <c r="S51" s="13">
        <v>2</v>
      </c>
      <c r="T51" s="13">
        <v>2</v>
      </c>
      <c r="U51" s="13">
        <v>2</v>
      </c>
      <c r="V51" s="13">
        <v>1</v>
      </c>
      <c r="W51" s="13">
        <v>2</v>
      </c>
      <c r="X51" s="13">
        <v>2</v>
      </c>
      <c r="Y51" s="13">
        <v>2</v>
      </c>
      <c r="Z51" s="13">
        <v>2</v>
      </c>
      <c r="AA51" s="13">
        <v>2</v>
      </c>
      <c r="AB51" s="13">
        <v>3</v>
      </c>
      <c r="AC51" s="13">
        <v>2</v>
      </c>
      <c r="AD51" s="13">
        <v>3</v>
      </c>
      <c r="AE51" s="13">
        <v>3</v>
      </c>
      <c r="AF51" s="13">
        <v>3</v>
      </c>
      <c r="AG51" s="13">
        <v>3</v>
      </c>
      <c r="AH51" s="13">
        <v>1</v>
      </c>
      <c r="AI51" s="85">
        <v>3</v>
      </c>
      <c r="AJ51" s="13">
        <v>3</v>
      </c>
      <c r="AK51" s="13">
        <v>3</v>
      </c>
      <c r="AL51" s="13">
        <v>3</v>
      </c>
      <c r="AM51" s="13">
        <v>3</v>
      </c>
      <c r="AN51" s="13">
        <v>3</v>
      </c>
      <c r="AO51" s="13">
        <v>2</v>
      </c>
      <c r="AP51" s="13">
        <v>2</v>
      </c>
      <c r="AQ51" s="13">
        <v>2</v>
      </c>
      <c r="AR51" s="13">
        <v>1</v>
      </c>
      <c r="AS51" s="13">
        <v>3</v>
      </c>
      <c r="AT51" s="25">
        <v>4</v>
      </c>
    </row>
    <row r="52" spans="1:46" ht="12.75" hidden="1" customHeight="1" x14ac:dyDescent="0.3">
      <c r="A52" s="158"/>
      <c r="B52" s="117">
        <v>46198</v>
      </c>
      <c r="C52" s="143">
        <v>0.83333333333333337</v>
      </c>
      <c r="D52" s="137" t="s">
        <v>81</v>
      </c>
      <c r="E52" s="122" t="s">
        <v>30</v>
      </c>
      <c r="F52" s="122" t="s">
        <v>41</v>
      </c>
      <c r="G52" s="153">
        <v>3</v>
      </c>
      <c r="H52" s="153">
        <v>2</v>
      </c>
      <c r="I52" s="115" t="str">
        <f t="shared" si="5"/>
        <v>L</v>
      </c>
      <c r="J52" s="27" t="s">
        <v>16</v>
      </c>
      <c r="K52" s="19" t="s">
        <v>15</v>
      </c>
      <c r="L52" s="19" t="s">
        <v>15</v>
      </c>
      <c r="M52" s="19" t="s">
        <v>16</v>
      </c>
      <c r="N52" s="19" t="s">
        <v>16</v>
      </c>
      <c r="O52" s="19" t="s">
        <v>7</v>
      </c>
      <c r="P52" s="19" t="s">
        <v>15</v>
      </c>
      <c r="Q52" s="19" t="s">
        <v>16</v>
      </c>
      <c r="R52" s="19" t="s">
        <v>15</v>
      </c>
      <c r="S52" s="19" t="s">
        <v>16</v>
      </c>
      <c r="T52" s="19" t="s">
        <v>16</v>
      </c>
      <c r="U52" s="19" t="s">
        <v>16</v>
      </c>
      <c r="V52" s="19" t="s">
        <v>15</v>
      </c>
      <c r="W52" s="19" t="s">
        <v>15</v>
      </c>
      <c r="X52" s="19" t="s">
        <v>15</v>
      </c>
      <c r="Y52" s="19" t="s">
        <v>15</v>
      </c>
      <c r="Z52" s="19" t="s">
        <v>15</v>
      </c>
      <c r="AA52" s="19" t="s">
        <v>16</v>
      </c>
      <c r="AB52" s="19" t="s">
        <v>16</v>
      </c>
      <c r="AC52" s="19" t="s">
        <v>15</v>
      </c>
      <c r="AD52" s="19" t="s">
        <v>16</v>
      </c>
      <c r="AE52" s="19" t="s">
        <v>15</v>
      </c>
      <c r="AF52" s="19" t="s">
        <v>15</v>
      </c>
      <c r="AG52" s="19" t="s">
        <v>16</v>
      </c>
      <c r="AH52" s="19" t="s">
        <v>16</v>
      </c>
      <c r="AI52" s="87" t="s">
        <v>16</v>
      </c>
      <c r="AJ52" s="19" t="s">
        <v>16</v>
      </c>
      <c r="AK52" s="19" t="s">
        <v>16</v>
      </c>
      <c r="AL52" s="19" t="s">
        <v>16</v>
      </c>
      <c r="AM52" s="19" t="s">
        <v>16</v>
      </c>
      <c r="AN52" s="19" t="s">
        <v>15</v>
      </c>
      <c r="AO52" s="19" t="s">
        <v>16</v>
      </c>
      <c r="AP52" s="19" t="s">
        <v>16</v>
      </c>
      <c r="AQ52" s="19" t="s">
        <v>15</v>
      </c>
      <c r="AR52" s="19" t="s">
        <v>7</v>
      </c>
      <c r="AS52" s="19" t="s">
        <v>15</v>
      </c>
      <c r="AT52" s="28" t="s">
        <v>15</v>
      </c>
    </row>
    <row r="53" spans="1:46" ht="12.75" hidden="1" customHeight="1" x14ac:dyDescent="0.3">
      <c r="A53" s="158"/>
      <c r="B53" s="118"/>
      <c r="C53" s="118"/>
      <c r="D53" s="123"/>
      <c r="E53" s="123"/>
      <c r="F53" s="123"/>
      <c r="G53" s="154"/>
      <c r="H53" s="154"/>
      <c r="I53" s="116"/>
      <c r="J53" s="27">
        <v>2</v>
      </c>
      <c r="K53" s="19">
        <v>2</v>
      </c>
      <c r="L53" s="19">
        <v>3</v>
      </c>
      <c r="M53" s="19">
        <v>2</v>
      </c>
      <c r="N53" s="19">
        <v>2</v>
      </c>
      <c r="O53" s="19">
        <v>3</v>
      </c>
      <c r="P53" s="19">
        <v>2</v>
      </c>
      <c r="Q53" s="19">
        <v>2</v>
      </c>
      <c r="R53" s="19">
        <v>3</v>
      </c>
      <c r="S53" s="19">
        <v>2</v>
      </c>
      <c r="T53" s="19">
        <v>2</v>
      </c>
      <c r="U53" s="19">
        <v>2</v>
      </c>
      <c r="V53" s="19">
        <v>1</v>
      </c>
      <c r="W53" s="19">
        <v>3</v>
      </c>
      <c r="X53" s="19">
        <v>1</v>
      </c>
      <c r="Y53" s="19">
        <v>2</v>
      </c>
      <c r="Z53" s="19">
        <v>3</v>
      </c>
      <c r="AA53" s="19">
        <v>2</v>
      </c>
      <c r="AB53" s="19">
        <v>2</v>
      </c>
      <c r="AC53" s="19">
        <v>1</v>
      </c>
      <c r="AD53" s="19">
        <v>4</v>
      </c>
      <c r="AE53" s="19">
        <v>3</v>
      </c>
      <c r="AF53" s="19">
        <v>2</v>
      </c>
      <c r="AG53" s="19">
        <v>4</v>
      </c>
      <c r="AH53" s="19">
        <v>2</v>
      </c>
      <c r="AI53" s="87">
        <v>2</v>
      </c>
      <c r="AJ53" s="19">
        <v>2</v>
      </c>
      <c r="AK53" s="19">
        <v>4</v>
      </c>
      <c r="AL53" s="19">
        <v>0</v>
      </c>
      <c r="AM53" s="19">
        <v>6</v>
      </c>
      <c r="AN53" s="19">
        <v>2</v>
      </c>
      <c r="AO53" s="19">
        <v>2</v>
      </c>
      <c r="AP53" s="19">
        <v>4</v>
      </c>
      <c r="AQ53" s="19">
        <v>3</v>
      </c>
      <c r="AR53" s="19">
        <v>1</v>
      </c>
      <c r="AS53" s="19">
        <v>3</v>
      </c>
      <c r="AT53" s="28">
        <v>3</v>
      </c>
    </row>
    <row r="54" spans="1:46" ht="12.75" hidden="1" customHeight="1" x14ac:dyDescent="0.3">
      <c r="A54" s="158"/>
      <c r="B54" s="164">
        <v>46198</v>
      </c>
      <c r="C54" s="146">
        <v>0.83333333333333337</v>
      </c>
      <c r="D54" s="140" t="s">
        <v>84</v>
      </c>
      <c r="E54" s="162" t="s">
        <v>43</v>
      </c>
      <c r="F54" s="122" t="s">
        <v>42</v>
      </c>
      <c r="G54" s="153">
        <v>0</v>
      </c>
      <c r="H54" s="153">
        <v>0</v>
      </c>
      <c r="I54" s="115" t="str">
        <f t="shared" si="5"/>
        <v>E</v>
      </c>
      <c r="J54" s="26" t="s">
        <v>7</v>
      </c>
      <c r="K54" s="13" t="s">
        <v>7</v>
      </c>
      <c r="L54" s="13" t="s">
        <v>16</v>
      </c>
      <c r="M54" s="13" t="s">
        <v>16</v>
      </c>
      <c r="N54" s="13" t="s">
        <v>7</v>
      </c>
      <c r="O54" s="13" t="s">
        <v>16</v>
      </c>
      <c r="P54" s="13" t="s">
        <v>7</v>
      </c>
      <c r="Q54" s="13" t="s">
        <v>16</v>
      </c>
      <c r="R54" s="13" t="s">
        <v>16</v>
      </c>
      <c r="S54" s="13" t="s">
        <v>7</v>
      </c>
      <c r="T54" s="13" t="s">
        <v>16</v>
      </c>
      <c r="U54" s="13" t="s">
        <v>16</v>
      </c>
      <c r="V54" s="13" t="s">
        <v>7</v>
      </c>
      <c r="W54" s="13" t="s">
        <v>7</v>
      </c>
      <c r="X54" s="13" t="s">
        <v>7</v>
      </c>
      <c r="Y54" s="13" t="s">
        <v>7</v>
      </c>
      <c r="Z54" s="13" t="s">
        <v>16</v>
      </c>
      <c r="AA54" s="13" t="s">
        <v>7</v>
      </c>
      <c r="AB54" s="13" t="s">
        <v>7</v>
      </c>
      <c r="AC54" s="13" t="s">
        <v>7</v>
      </c>
      <c r="AD54" s="13" t="s">
        <v>7</v>
      </c>
      <c r="AE54" s="13" t="s">
        <v>7</v>
      </c>
      <c r="AF54" s="13" t="s">
        <v>7</v>
      </c>
      <c r="AG54" s="13" t="s">
        <v>15</v>
      </c>
      <c r="AH54" s="13" t="s">
        <v>7</v>
      </c>
      <c r="AI54" s="85" t="s">
        <v>7</v>
      </c>
      <c r="AJ54" s="13" t="s">
        <v>7</v>
      </c>
      <c r="AK54" s="13" t="s">
        <v>7</v>
      </c>
      <c r="AL54" s="13" t="s">
        <v>7</v>
      </c>
      <c r="AM54" s="13" t="s">
        <v>7</v>
      </c>
      <c r="AN54" s="13" t="s">
        <v>7</v>
      </c>
      <c r="AO54" s="13" t="s">
        <v>16</v>
      </c>
      <c r="AP54" s="13" t="s">
        <v>7</v>
      </c>
      <c r="AQ54" s="13" t="s">
        <v>7</v>
      </c>
      <c r="AR54" s="13" t="s">
        <v>7</v>
      </c>
      <c r="AS54" s="13" t="s">
        <v>7</v>
      </c>
      <c r="AT54" s="25" t="s">
        <v>15</v>
      </c>
    </row>
    <row r="55" spans="1:46" ht="12.75" hidden="1" customHeight="1" x14ac:dyDescent="0.3">
      <c r="A55" s="159"/>
      <c r="B55" s="147"/>
      <c r="C55" s="147"/>
      <c r="D55" s="141"/>
      <c r="E55" s="141"/>
      <c r="F55" s="123"/>
      <c r="G55" s="154"/>
      <c r="H55" s="154"/>
      <c r="I55" s="116"/>
      <c r="J55" s="26">
        <v>1</v>
      </c>
      <c r="K55" s="13">
        <v>3</v>
      </c>
      <c r="L55" s="13">
        <v>2</v>
      </c>
      <c r="M55" s="13">
        <v>2</v>
      </c>
      <c r="N55" s="13">
        <v>1</v>
      </c>
      <c r="O55" s="13">
        <v>0</v>
      </c>
      <c r="P55" s="13">
        <v>2</v>
      </c>
      <c r="Q55" s="13">
        <v>2</v>
      </c>
      <c r="R55" s="13">
        <v>2</v>
      </c>
      <c r="S55" s="13">
        <v>2</v>
      </c>
      <c r="T55" s="13">
        <v>2</v>
      </c>
      <c r="U55" s="13">
        <v>2</v>
      </c>
      <c r="V55" s="13">
        <v>3</v>
      </c>
      <c r="W55" s="13">
        <v>2</v>
      </c>
      <c r="X55" s="13">
        <v>2</v>
      </c>
      <c r="Y55" s="13">
        <v>2</v>
      </c>
      <c r="Z55" s="13">
        <v>2</v>
      </c>
      <c r="AA55" s="13">
        <v>3</v>
      </c>
      <c r="AB55" s="13">
        <v>3</v>
      </c>
      <c r="AC55" s="13">
        <v>2</v>
      </c>
      <c r="AD55" s="13">
        <v>2</v>
      </c>
      <c r="AE55" s="13">
        <v>2</v>
      </c>
      <c r="AF55" s="13">
        <v>2</v>
      </c>
      <c r="AG55" s="13">
        <v>1</v>
      </c>
      <c r="AH55" s="13">
        <v>1</v>
      </c>
      <c r="AI55" s="85">
        <v>2</v>
      </c>
      <c r="AJ55" s="13">
        <v>1</v>
      </c>
      <c r="AK55" s="13">
        <v>3</v>
      </c>
      <c r="AL55" s="13">
        <v>2</v>
      </c>
      <c r="AM55" s="13">
        <v>3</v>
      </c>
      <c r="AN55" s="13">
        <v>1</v>
      </c>
      <c r="AO55" s="13">
        <v>1</v>
      </c>
      <c r="AP55" s="13">
        <v>1</v>
      </c>
      <c r="AQ55" s="13">
        <v>1</v>
      </c>
      <c r="AR55" s="13">
        <v>2</v>
      </c>
      <c r="AS55" s="13">
        <v>1</v>
      </c>
      <c r="AT55" s="25">
        <v>2</v>
      </c>
    </row>
    <row r="56" spans="1:46" ht="12.75" hidden="1" customHeight="1" x14ac:dyDescent="0.3">
      <c r="A56" s="133" t="s">
        <v>16</v>
      </c>
      <c r="B56" s="101">
        <v>46187</v>
      </c>
      <c r="C56" s="142">
        <v>0.45833333333333331</v>
      </c>
      <c r="D56" s="136" t="s">
        <v>86</v>
      </c>
      <c r="E56" s="105" t="s">
        <v>23</v>
      </c>
      <c r="F56" s="105" t="s">
        <v>46</v>
      </c>
      <c r="G56" s="155">
        <v>7</v>
      </c>
      <c r="H56" s="155">
        <v>1</v>
      </c>
      <c r="I56" s="107"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83" t="s">
        <v>7</v>
      </c>
      <c r="AJ56" s="18" t="s">
        <v>7</v>
      </c>
      <c r="AK56" s="18" t="s">
        <v>7</v>
      </c>
      <c r="AL56" s="18" t="s">
        <v>7</v>
      </c>
      <c r="AM56" s="18" t="s">
        <v>7</v>
      </c>
      <c r="AN56" s="18" t="s">
        <v>7</v>
      </c>
      <c r="AO56" s="18" t="s">
        <v>7</v>
      </c>
      <c r="AP56" s="18" t="s">
        <v>7</v>
      </c>
      <c r="AQ56" s="18" t="s">
        <v>7</v>
      </c>
      <c r="AR56" s="18" t="s">
        <v>7</v>
      </c>
      <c r="AS56" s="18" t="s">
        <v>7</v>
      </c>
      <c r="AT56" s="24" t="s">
        <v>7</v>
      </c>
    </row>
    <row r="57" spans="1:46" ht="12.75" hidden="1" customHeight="1" x14ac:dyDescent="0.3">
      <c r="A57" s="134"/>
      <c r="B57" s="102"/>
      <c r="C57" s="102"/>
      <c r="D57" s="106"/>
      <c r="E57" s="106"/>
      <c r="F57" s="106"/>
      <c r="G57" s="156"/>
      <c r="H57" s="156"/>
      <c r="I57" s="108"/>
      <c r="J57" s="23">
        <v>4</v>
      </c>
      <c r="K57" s="18">
        <v>3</v>
      </c>
      <c r="L57" s="18">
        <v>3</v>
      </c>
      <c r="M57" s="18">
        <v>5</v>
      </c>
      <c r="N57" s="18">
        <v>4</v>
      </c>
      <c r="O57" s="18">
        <v>4</v>
      </c>
      <c r="P57" s="18">
        <v>4</v>
      </c>
      <c r="Q57" s="18">
        <v>5</v>
      </c>
      <c r="R57" s="18">
        <v>4</v>
      </c>
      <c r="S57" s="18">
        <v>4</v>
      </c>
      <c r="T57" s="18">
        <v>4</v>
      </c>
      <c r="U57" s="18">
        <v>3</v>
      </c>
      <c r="V57" s="18">
        <v>4</v>
      </c>
      <c r="W57" s="18">
        <v>4</v>
      </c>
      <c r="X57" s="18">
        <v>3</v>
      </c>
      <c r="Y57" s="18">
        <v>5</v>
      </c>
      <c r="Z57" s="18">
        <v>4</v>
      </c>
      <c r="AA57" s="18">
        <v>6</v>
      </c>
      <c r="AB57" s="18">
        <v>4</v>
      </c>
      <c r="AC57" s="18">
        <v>3</v>
      </c>
      <c r="AD57" s="18">
        <v>4</v>
      </c>
      <c r="AE57" s="18">
        <v>4</v>
      </c>
      <c r="AF57" s="18">
        <v>5</v>
      </c>
      <c r="AG57" s="18">
        <v>3</v>
      </c>
      <c r="AH57" s="18">
        <v>5</v>
      </c>
      <c r="AI57" s="83">
        <v>4</v>
      </c>
      <c r="AJ57" s="18">
        <v>4</v>
      </c>
      <c r="AK57" s="18">
        <v>4</v>
      </c>
      <c r="AL57" s="18">
        <v>6</v>
      </c>
      <c r="AM57" s="18">
        <v>4</v>
      </c>
      <c r="AN57" s="18">
        <v>3</v>
      </c>
      <c r="AO57" s="18">
        <v>3</v>
      </c>
      <c r="AP57" s="18">
        <v>4</v>
      </c>
      <c r="AQ57" s="18">
        <v>4</v>
      </c>
      <c r="AR57" s="18">
        <v>1</v>
      </c>
      <c r="AS57" s="18">
        <v>6</v>
      </c>
      <c r="AT57" s="24">
        <v>4</v>
      </c>
    </row>
    <row r="58" spans="1:46" ht="12.75" hidden="1" customHeight="1" x14ac:dyDescent="0.3">
      <c r="A58" s="134"/>
      <c r="B58" s="101">
        <v>46187</v>
      </c>
      <c r="C58" s="142">
        <v>0.70833333333333337</v>
      </c>
      <c r="D58" s="136" t="s">
        <v>93</v>
      </c>
      <c r="E58" s="105" t="s">
        <v>44</v>
      </c>
      <c r="F58" s="105" t="s">
        <v>45</v>
      </c>
      <c r="G58" s="155">
        <v>1</v>
      </c>
      <c r="H58" s="155">
        <v>0</v>
      </c>
      <c r="I58" s="107" t="str">
        <f t="shared" ref="I58" si="6">IF(G58="","-",IF(G58&gt;H58,"L",IF(G58=H58,"E",IF(G58&lt;H58,"V"))))</f>
        <v>L</v>
      </c>
      <c r="J58" s="26" t="s">
        <v>16</v>
      </c>
      <c r="K58" s="13" t="s">
        <v>15</v>
      </c>
      <c r="L58" s="13" t="s">
        <v>16</v>
      </c>
      <c r="M58" s="13" t="s">
        <v>16</v>
      </c>
      <c r="N58" s="13" t="s">
        <v>16</v>
      </c>
      <c r="O58" s="13" t="s">
        <v>15</v>
      </c>
      <c r="P58" s="13" t="s">
        <v>16</v>
      </c>
      <c r="Q58" s="13" t="s">
        <v>16</v>
      </c>
      <c r="R58" s="13" t="s">
        <v>7</v>
      </c>
      <c r="S58" s="13" t="s">
        <v>16</v>
      </c>
      <c r="T58" s="13" t="s">
        <v>16</v>
      </c>
      <c r="U58" s="13" t="s">
        <v>16</v>
      </c>
      <c r="V58" s="13" t="s">
        <v>15</v>
      </c>
      <c r="W58" s="13" t="s">
        <v>16</v>
      </c>
      <c r="X58" s="13" t="s">
        <v>15</v>
      </c>
      <c r="Y58" s="13" t="s">
        <v>16</v>
      </c>
      <c r="Z58" s="13" t="s">
        <v>16</v>
      </c>
      <c r="AA58" s="13" t="s">
        <v>16</v>
      </c>
      <c r="AB58" s="13" t="s">
        <v>16</v>
      </c>
      <c r="AC58" s="13" t="s">
        <v>15</v>
      </c>
      <c r="AD58" s="13" t="s">
        <v>7</v>
      </c>
      <c r="AE58" s="13" t="s">
        <v>16</v>
      </c>
      <c r="AF58" s="13" t="s">
        <v>7</v>
      </c>
      <c r="AG58" s="13" t="s">
        <v>7</v>
      </c>
      <c r="AH58" s="13" t="s">
        <v>16</v>
      </c>
      <c r="AI58" s="85" t="s">
        <v>16</v>
      </c>
      <c r="AJ58" s="13" t="s">
        <v>15</v>
      </c>
      <c r="AK58" s="13" t="s">
        <v>16</v>
      </c>
      <c r="AL58" s="13" t="s">
        <v>15</v>
      </c>
      <c r="AM58" s="13" t="s">
        <v>16</v>
      </c>
      <c r="AN58" s="13" t="s">
        <v>15</v>
      </c>
      <c r="AO58" s="13" t="s">
        <v>16</v>
      </c>
      <c r="AP58" s="13" t="s">
        <v>15</v>
      </c>
      <c r="AQ58" s="13" t="s">
        <v>15</v>
      </c>
      <c r="AR58" s="13" t="s">
        <v>7</v>
      </c>
      <c r="AS58" s="13" t="s">
        <v>15</v>
      </c>
      <c r="AT58" s="25" t="s">
        <v>15</v>
      </c>
    </row>
    <row r="59" spans="1:46" ht="12.75" hidden="1" customHeight="1" x14ac:dyDescent="0.3">
      <c r="A59" s="134"/>
      <c r="B59" s="102"/>
      <c r="C59" s="102"/>
      <c r="D59" s="106"/>
      <c r="E59" s="106"/>
      <c r="F59" s="106"/>
      <c r="G59" s="156"/>
      <c r="H59" s="156"/>
      <c r="I59" s="108"/>
      <c r="J59" s="26">
        <v>2</v>
      </c>
      <c r="K59" s="13">
        <v>3</v>
      </c>
      <c r="L59" s="13">
        <v>2</v>
      </c>
      <c r="M59" s="13">
        <v>2</v>
      </c>
      <c r="N59" s="13">
        <v>2</v>
      </c>
      <c r="O59" s="13">
        <v>3</v>
      </c>
      <c r="P59" s="13">
        <v>2</v>
      </c>
      <c r="Q59" s="13">
        <v>0</v>
      </c>
      <c r="R59" s="13">
        <v>3</v>
      </c>
      <c r="S59" s="13">
        <v>2</v>
      </c>
      <c r="T59" s="13">
        <v>2</v>
      </c>
      <c r="U59" s="13">
        <v>2</v>
      </c>
      <c r="V59" s="13">
        <v>3</v>
      </c>
      <c r="W59" s="13">
        <v>2</v>
      </c>
      <c r="X59" s="13">
        <v>3</v>
      </c>
      <c r="Y59" s="13">
        <v>1</v>
      </c>
      <c r="Z59" s="13">
        <v>2</v>
      </c>
      <c r="AA59" s="13">
        <v>2</v>
      </c>
      <c r="AB59" s="13">
        <v>2</v>
      </c>
      <c r="AC59" s="13">
        <v>3</v>
      </c>
      <c r="AD59" s="13">
        <v>3</v>
      </c>
      <c r="AE59" s="13">
        <v>2</v>
      </c>
      <c r="AF59" s="13">
        <v>3</v>
      </c>
      <c r="AG59" s="13">
        <v>3</v>
      </c>
      <c r="AH59" s="13">
        <v>4</v>
      </c>
      <c r="AI59" s="85">
        <v>2</v>
      </c>
      <c r="AJ59" s="13">
        <v>3</v>
      </c>
      <c r="AK59" s="13">
        <v>4</v>
      </c>
      <c r="AL59" s="13">
        <v>3</v>
      </c>
      <c r="AM59" s="13">
        <v>4</v>
      </c>
      <c r="AN59" s="13">
        <v>3</v>
      </c>
      <c r="AO59" s="13">
        <v>2</v>
      </c>
      <c r="AP59" s="13">
        <v>1</v>
      </c>
      <c r="AQ59" s="13">
        <v>3</v>
      </c>
      <c r="AR59" s="13">
        <v>3</v>
      </c>
      <c r="AS59" s="13">
        <v>3</v>
      </c>
      <c r="AT59" s="25">
        <v>3</v>
      </c>
    </row>
    <row r="60" spans="1:46" ht="12.75" hidden="1" customHeight="1" x14ac:dyDescent="0.3">
      <c r="A60" s="134"/>
      <c r="B60" s="101">
        <v>46193</v>
      </c>
      <c r="C60" s="142">
        <v>0.58333333333333337</v>
      </c>
      <c r="D60" s="136" t="s">
        <v>83</v>
      </c>
      <c r="E60" s="105" t="s">
        <v>23</v>
      </c>
      <c r="F60" s="105" t="s">
        <v>44</v>
      </c>
      <c r="G60" s="155">
        <v>2</v>
      </c>
      <c r="H60" s="155">
        <v>1</v>
      </c>
      <c r="I60" s="107" t="str">
        <f t="shared" ref="I60" si="7">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83" t="s">
        <v>7</v>
      </c>
      <c r="AJ60" s="18" t="s">
        <v>7</v>
      </c>
      <c r="AK60" s="18" t="s">
        <v>16</v>
      </c>
      <c r="AL60" s="18" t="s">
        <v>16</v>
      </c>
      <c r="AM60" s="18" t="s">
        <v>7</v>
      </c>
      <c r="AN60" s="18" t="s">
        <v>7</v>
      </c>
      <c r="AO60" s="18" t="s">
        <v>7</v>
      </c>
      <c r="AP60" s="18" t="s">
        <v>7</v>
      </c>
      <c r="AQ60" s="18" t="s">
        <v>7</v>
      </c>
      <c r="AR60" s="18" t="s">
        <v>16</v>
      </c>
      <c r="AS60" s="18" t="s">
        <v>7</v>
      </c>
      <c r="AT60" s="24" t="s">
        <v>7</v>
      </c>
    </row>
    <row r="61" spans="1:46" ht="12.75" hidden="1" customHeight="1" x14ac:dyDescent="0.3">
      <c r="A61" s="134"/>
      <c r="B61" s="102"/>
      <c r="C61" s="102"/>
      <c r="D61" s="106"/>
      <c r="E61" s="106"/>
      <c r="F61" s="106"/>
      <c r="G61" s="156"/>
      <c r="H61" s="156"/>
      <c r="I61" s="108"/>
      <c r="J61" s="23">
        <v>3</v>
      </c>
      <c r="K61" s="18">
        <v>3</v>
      </c>
      <c r="L61" s="18">
        <v>3</v>
      </c>
      <c r="M61" s="18">
        <v>4</v>
      </c>
      <c r="N61" s="18">
        <v>3</v>
      </c>
      <c r="O61" s="18">
        <v>2</v>
      </c>
      <c r="P61" s="18">
        <v>3</v>
      </c>
      <c r="Q61" s="18">
        <v>3</v>
      </c>
      <c r="R61" s="18">
        <v>3</v>
      </c>
      <c r="S61" s="18">
        <v>2</v>
      </c>
      <c r="T61" s="18">
        <v>4</v>
      </c>
      <c r="U61" s="18">
        <v>2</v>
      </c>
      <c r="V61" s="18">
        <v>4</v>
      </c>
      <c r="W61" s="18">
        <v>3</v>
      </c>
      <c r="X61" s="18">
        <v>3</v>
      </c>
      <c r="Y61" s="18">
        <v>3</v>
      </c>
      <c r="Z61" s="18">
        <v>3</v>
      </c>
      <c r="AA61" s="18">
        <v>3</v>
      </c>
      <c r="AB61" s="18">
        <v>3</v>
      </c>
      <c r="AC61" s="18">
        <v>1</v>
      </c>
      <c r="AD61" s="18">
        <v>3</v>
      </c>
      <c r="AE61" s="18">
        <v>3</v>
      </c>
      <c r="AF61" s="18">
        <v>4</v>
      </c>
      <c r="AG61" s="18">
        <v>3</v>
      </c>
      <c r="AH61" s="18">
        <v>2</v>
      </c>
      <c r="AI61" s="83">
        <v>2</v>
      </c>
      <c r="AJ61" s="18">
        <v>3</v>
      </c>
      <c r="AK61" s="18">
        <v>4</v>
      </c>
      <c r="AL61" s="18">
        <v>2</v>
      </c>
      <c r="AM61" s="18">
        <v>3</v>
      </c>
      <c r="AN61" s="18">
        <v>3</v>
      </c>
      <c r="AO61" s="18">
        <v>2</v>
      </c>
      <c r="AP61" s="18">
        <v>4</v>
      </c>
      <c r="AQ61" s="18">
        <v>2</v>
      </c>
      <c r="AR61" s="18">
        <v>2</v>
      </c>
      <c r="AS61" s="18">
        <v>4</v>
      </c>
      <c r="AT61" s="24">
        <v>5</v>
      </c>
    </row>
    <row r="62" spans="1:46" ht="12.75" hidden="1" customHeight="1" x14ac:dyDescent="0.3">
      <c r="A62" s="134"/>
      <c r="B62" s="101">
        <v>46193</v>
      </c>
      <c r="C62" s="142">
        <v>0.75</v>
      </c>
      <c r="D62" s="136" t="s">
        <v>92</v>
      </c>
      <c r="E62" s="105" t="s">
        <v>45</v>
      </c>
      <c r="F62" s="105" t="s">
        <v>46</v>
      </c>
      <c r="G62" s="155">
        <v>0</v>
      </c>
      <c r="H62" s="155">
        <v>0</v>
      </c>
      <c r="I62" s="107" t="str">
        <f t="shared" ref="I62" si="8">IF(G62="","-",IF(G62&gt;H62,"L",IF(G62=H62,"E",IF(G62&lt;H62,"V"))))</f>
        <v>E</v>
      </c>
      <c r="J62" s="26" t="s">
        <v>7</v>
      </c>
      <c r="K62" s="13" t="s">
        <v>16</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85" t="s">
        <v>7</v>
      </c>
      <c r="AJ62" s="13" t="s">
        <v>7</v>
      </c>
      <c r="AK62" s="13" t="s">
        <v>7</v>
      </c>
      <c r="AL62" s="13" t="s">
        <v>7</v>
      </c>
      <c r="AM62" s="13" t="s">
        <v>16</v>
      </c>
      <c r="AN62" s="13" t="s">
        <v>7</v>
      </c>
      <c r="AO62" s="13" t="s">
        <v>7</v>
      </c>
      <c r="AP62" s="13" t="s">
        <v>7</v>
      </c>
      <c r="AQ62" s="13" t="s">
        <v>7</v>
      </c>
      <c r="AR62" s="13" t="s">
        <v>7</v>
      </c>
      <c r="AS62" s="13" t="s">
        <v>7</v>
      </c>
      <c r="AT62" s="25" t="s">
        <v>7</v>
      </c>
    </row>
    <row r="63" spans="1:46" ht="12.75" hidden="1" customHeight="1" x14ac:dyDescent="0.3">
      <c r="A63" s="134"/>
      <c r="B63" s="102"/>
      <c r="C63" s="102"/>
      <c r="D63" s="106"/>
      <c r="E63" s="106"/>
      <c r="F63" s="106"/>
      <c r="G63" s="156"/>
      <c r="H63" s="156"/>
      <c r="I63" s="108"/>
      <c r="J63" s="26">
        <v>3</v>
      </c>
      <c r="K63" s="13">
        <v>2</v>
      </c>
      <c r="L63" s="13">
        <v>2</v>
      </c>
      <c r="M63" s="13">
        <v>2</v>
      </c>
      <c r="N63" s="13">
        <v>3</v>
      </c>
      <c r="O63" s="13">
        <v>3</v>
      </c>
      <c r="P63" s="13">
        <v>2</v>
      </c>
      <c r="Q63" s="13">
        <v>2</v>
      </c>
      <c r="R63" s="13">
        <v>2</v>
      </c>
      <c r="S63" s="13">
        <v>3</v>
      </c>
      <c r="T63" s="13">
        <v>2</v>
      </c>
      <c r="U63" s="13">
        <v>2</v>
      </c>
      <c r="V63" s="13">
        <v>3</v>
      </c>
      <c r="W63" s="13">
        <v>3</v>
      </c>
      <c r="X63" s="13">
        <v>2</v>
      </c>
      <c r="Y63" s="13">
        <v>2</v>
      </c>
      <c r="Z63" s="13">
        <v>2</v>
      </c>
      <c r="AA63" s="13">
        <v>3</v>
      </c>
      <c r="AB63" s="13">
        <v>3</v>
      </c>
      <c r="AC63" s="13">
        <v>2</v>
      </c>
      <c r="AD63" s="13">
        <v>2</v>
      </c>
      <c r="AE63" s="13">
        <v>2</v>
      </c>
      <c r="AF63" s="13">
        <v>2</v>
      </c>
      <c r="AG63" s="13">
        <v>1</v>
      </c>
      <c r="AH63" s="13">
        <v>3</v>
      </c>
      <c r="AI63" s="85">
        <v>3</v>
      </c>
      <c r="AJ63" s="13">
        <v>3</v>
      </c>
      <c r="AK63" s="13">
        <v>3</v>
      </c>
      <c r="AL63" s="13">
        <v>4</v>
      </c>
      <c r="AM63" s="13">
        <v>3</v>
      </c>
      <c r="AN63" s="13">
        <v>3</v>
      </c>
      <c r="AO63" s="13">
        <v>3</v>
      </c>
      <c r="AP63" s="13">
        <v>2</v>
      </c>
      <c r="AQ63" s="13">
        <v>2</v>
      </c>
      <c r="AR63" s="13">
        <v>3</v>
      </c>
      <c r="AS63" s="13">
        <v>4</v>
      </c>
      <c r="AT63" s="25">
        <v>6</v>
      </c>
    </row>
    <row r="64" spans="1:46" ht="12.75" hidden="1" customHeight="1" x14ac:dyDescent="0.3">
      <c r="A64" s="134"/>
      <c r="B64" s="101">
        <v>46198</v>
      </c>
      <c r="C64" s="142">
        <v>0.58333333333333337</v>
      </c>
      <c r="D64" s="136" t="s">
        <v>80</v>
      </c>
      <c r="E64" s="105" t="s">
        <v>45</v>
      </c>
      <c r="F64" s="105" t="s">
        <v>23</v>
      </c>
      <c r="G64" s="155">
        <v>2</v>
      </c>
      <c r="H64" s="155">
        <v>1</v>
      </c>
      <c r="I64" s="107" t="str">
        <f t="shared" ref="I64" si="9">IF(G64="","-",IF(G64&gt;H64,"L",IF(G64=H64,"E",IF(G64&lt;H64,"V"))))</f>
        <v>L</v>
      </c>
      <c r="J64" s="23" t="s">
        <v>15</v>
      </c>
      <c r="K64" s="18" t="s">
        <v>15</v>
      </c>
      <c r="L64" s="18" t="s">
        <v>15</v>
      </c>
      <c r="M64" s="18" t="s">
        <v>16</v>
      </c>
      <c r="N64" s="18" t="s">
        <v>15</v>
      </c>
      <c r="O64" s="18" t="s">
        <v>16</v>
      </c>
      <c r="P64" s="18" t="s">
        <v>15</v>
      </c>
      <c r="Q64" s="18" t="s">
        <v>15</v>
      </c>
      <c r="R64" s="18" t="s">
        <v>15</v>
      </c>
      <c r="S64" s="18" t="s">
        <v>16</v>
      </c>
      <c r="T64" s="18" t="s">
        <v>15</v>
      </c>
      <c r="U64" s="18" t="s">
        <v>15</v>
      </c>
      <c r="V64" s="18" t="s">
        <v>15</v>
      </c>
      <c r="W64" s="18" t="s">
        <v>15</v>
      </c>
      <c r="X64" s="18" t="s">
        <v>15</v>
      </c>
      <c r="Y64" s="18" t="s">
        <v>15</v>
      </c>
      <c r="Z64" s="18" t="s">
        <v>15</v>
      </c>
      <c r="AA64" s="18" t="s">
        <v>15</v>
      </c>
      <c r="AB64" s="18" t="s">
        <v>15</v>
      </c>
      <c r="AC64" s="18" t="s">
        <v>15</v>
      </c>
      <c r="AD64" s="18" t="s">
        <v>15</v>
      </c>
      <c r="AE64" s="18" t="s">
        <v>16</v>
      </c>
      <c r="AF64" s="18" t="s">
        <v>15</v>
      </c>
      <c r="AG64" s="18" t="s">
        <v>15</v>
      </c>
      <c r="AH64" s="18" t="s">
        <v>16</v>
      </c>
      <c r="AI64" s="83" t="s">
        <v>15</v>
      </c>
      <c r="AJ64" s="18" t="s">
        <v>16</v>
      </c>
      <c r="AK64" s="18" t="s">
        <v>16</v>
      </c>
      <c r="AL64" s="18" t="s">
        <v>16</v>
      </c>
      <c r="AM64" s="18" t="s">
        <v>15</v>
      </c>
      <c r="AN64" s="18" t="s">
        <v>16</v>
      </c>
      <c r="AO64" s="18" t="s">
        <v>15</v>
      </c>
      <c r="AP64" s="18" t="s">
        <v>15</v>
      </c>
      <c r="AQ64" s="18" t="s">
        <v>15</v>
      </c>
      <c r="AR64" s="18" t="s">
        <v>15</v>
      </c>
      <c r="AS64" s="18" t="s">
        <v>15</v>
      </c>
      <c r="AT64" s="24" t="s">
        <v>16</v>
      </c>
    </row>
    <row r="65" spans="1:46" ht="12.75" hidden="1" customHeight="1" x14ac:dyDescent="0.3">
      <c r="A65" s="134"/>
      <c r="B65" s="102"/>
      <c r="C65" s="102"/>
      <c r="D65" s="106"/>
      <c r="E65" s="106"/>
      <c r="F65" s="106"/>
      <c r="G65" s="156"/>
      <c r="H65" s="156"/>
      <c r="I65" s="108"/>
      <c r="J65" s="23">
        <v>2</v>
      </c>
      <c r="K65" s="18">
        <v>3</v>
      </c>
      <c r="L65" s="18">
        <v>3</v>
      </c>
      <c r="M65" s="18">
        <v>2</v>
      </c>
      <c r="N65" s="18">
        <v>3</v>
      </c>
      <c r="O65" s="18">
        <v>2</v>
      </c>
      <c r="P65" s="18">
        <v>2</v>
      </c>
      <c r="Q65" s="18">
        <v>3</v>
      </c>
      <c r="R65" s="18">
        <v>1</v>
      </c>
      <c r="S65" s="18">
        <v>2</v>
      </c>
      <c r="T65" s="18">
        <v>3</v>
      </c>
      <c r="U65" s="18">
        <v>2</v>
      </c>
      <c r="V65" s="18">
        <v>3</v>
      </c>
      <c r="W65" s="18">
        <v>3</v>
      </c>
      <c r="X65" s="18">
        <v>1</v>
      </c>
      <c r="Y65" s="18">
        <v>2</v>
      </c>
      <c r="Z65" s="18">
        <v>3</v>
      </c>
      <c r="AA65" s="18">
        <v>3</v>
      </c>
      <c r="AB65" s="18">
        <v>3</v>
      </c>
      <c r="AC65" s="18">
        <v>1</v>
      </c>
      <c r="AD65" s="18">
        <v>2</v>
      </c>
      <c r="AE65" s="18">
        <v>4</v>
      </c>
      <c r="AF65" s="18">
        <v>4</v>
      </c>
      <c r="AG65" s="18">
        <v>2</v>
      </c>
      <c r="AH65" s="18">
        <v>2</v>
      </c>
      <c r="AI65" s="83">
        <v>3</v>
      </c>
      <c r="AJ65" s="18">
        <v>2</v>
      </c>
      <c r="AK65" s="18">
        <v>2</v>
      </c>
      <c r="AL65" s="18">
        <v>4</v>
      </c>
      <c r="AM65" s="18">
        <v>7</v>
      </c>
      <c r="AN65" s="18">
        <v>2</v>
      </c>
      <c r="AO65" s="18">
        <v>3</v>
      </c>
      <c r="AP65" s="18">
        <v>3</v>
      </c>
      <c r="AQ65" s="18">
        <v>4</v>
      </c>
      <c r="AR65" s="18">
        <v>2</v>
      </c>
      <c r="AS65" s="18">
        <v>3</v>
      </c>
      <c r="AT65" s="24">
        <v>4</v>
      </c>
    </row>
    <row r="66" spans="1:46" ht="12.75" hidden="1" customHeight="1" x14ac:dyDescent="0.3">
      <c r="A66" s="134"/>
      <c r="B66" s="101">
        <v>46198</v>
      </c>
      <c r="C66" s="142">
        <v>0.58333333333333337</v>
      </c>
      <c r="D66" s="136" t="s">
        <v>93</v>
      </c>
      <c r="E66" s="105" t="s">
        <v>46</v>
      </c>
      <c r="F66" s="105" t="s">
        <v>44</v>
      </c>
      <c r="G66" s="155">
        <v>0</v>
      </c>
      <c r="H66" s="155">
        <v>2</v>
      </c>
      <c r="I66" s="107" t="str">
        <f t="shared" ref="I66" si="10">IF(G66="","-",IF(G66&gt;H66,"L",IF(G66=H66,"E",IF(G66&lt;H66,"V"))))</f>
        <v>V</v>
      </c>
      <c r="J66" s="26" t="s">
        <v>15</v>
      </c>
      <c r="K66" s="13" t="s">
        <v>7</v>
      </c>
      <c r="L66" s="13" t="s">
        <v>15</v>
      </c>
      <c r="M66" s="13" t="s">
        <v>15</v>
      </c>
      <c r="N66" s="13" t="s">
        <v>15</v>
      </c>
      <c r="O66" s="13" t="s">
        <v>15</v>
      </c>
      <c r="P66" s="13" t="s">
        <v>16</v>
      </c>
      <c r="Q66" s="13" t="s">
        <v>15</v>
      </c>
      <c r="R66" s="13" t="s">
        <v>15</v>
      </c>
      <c r="S66" s="13" t="s">
        <v>15</v>
      </c>
      <c r="T66" s="13" t="s">
        <v>15</v>
      </c>
      <c r="U66" s="13" t="s">
        <v>16</v>
      </c>
      <c r="V66" s="13" t="s">
        <v>15</v>
      </c>
      <c r="W66" s="13" t="s">
        <v>15</v>
      </c>
      <c r="X66" s="13" t="s">
        <v>7</v>
      </c>
      <c r="Y66" s="13" t="s">
        <v>15</v>
      </c>
      <c r="Z66" s="13" t="s">
        <v>15</v>
      </c>
      <c r="AA66" s="13" t="s">
        <v>15</v>
      </c>
      <c r="AB66" s="13" t="s">
        <v>15</v>
      </c>
      <c r="AC66" s="13" t="s">
        <v>7</v>
      </c>
      <c r="AD66" s="13" t="s">
        <v>15</v>
      </c>
      <c r="AE66" s="13" t="s">
        <v>15</v>
      </c>
      <c r="AF66" s="13" t="s">
        <v>15</v>
      </c>
      <c r="AG66" s="13" t="s">
        <v>16</v>
      </c>
      <c r="AH66" s="13" t="s">
        <v>15</v>
      </c>
      <c r="AI66" s="85" t="s">
        <v>15</v>
      </c>
      <c r="AJ66" s="13" t="s">
        <v>15</v>
      </c>
      <c r="AK66" s="13" t="s">
        <v>15</v>
      </c>
      <c r="AL66" s="13" t="s">
        <v>15</v>
      </c>
      <c r="AM66" s="13" t="s">
        <v>16</v>
      </c>
      <c r="AN66" s="13" t="s">
        <v>16</v>
      </c>
      <c r="AO66" s="13" t="s">
        <v>15</v>
      </c>
      <c r="AP66" s="13" t="s">
        <v>15</v>
      </c>
      <c r="AQ66" s="13" t="s">
        <v>16</v>
      </c>
      <c r="AR66" s="13" t="s">
        <v>15</v>
      </c>
      <c r="AS66" s="13" t="s">
        <v>15</v>
      </c>
      <c r="AT66" s="25" t="s">
        <v>7</v>
      </c>
    </row>
    <row r="67" spans="1:46" ht="12.75" hidden="1" customHeight="1" x14ac:dyDescent="0.3">
      <c r="A67" s="135"/>
      <c r="B67" s="102"/>
      <c r="C67" s="102"/>
      <c r="D67" s="106"/>
      <c r="E67" s="106"/>
      <c r="F67" s="106"/>
      <c r="G67" s="156"/>
      <c r="H67" s="156"/>
      <c r="I67" s="108"/>
      <c r="J67" s="26">
        <v>2</v>
      </c>
      <c r="K67" s="13">
        <v>2</v>
      </c>
      <c r="L67" s="13">
        <v>2</v>
      </c>
      <c r="M67" s="13">
        <v>3</v>
      </c>
      <c r="N67" s="13">
        <v>2</v>
      </c>
      <c r="O67" s="13">
        <v>1</v>
      </c>
      <c r="P67" s="13">
        <v>2</v>
      </c>
      <c r="Q67" s="13">
        <v>3</v>
      </c>
      <c r="R67" s="13">
        <v>2</v>
      </c>
      <c r="S67" s="13">
        <v>3</v>
      </c>
      <c r="T67" s="13">
        <v>2</v>
      </c>
      <c r="U67" s="13">
        <v>2</v>
      </c>
      <c r="V67" s="13">
        <v>3</v>
      </c>
      <c r="W67" s="13">
        <v>2</v>
      </c>
      <c r="X67" s="13">
        <v>2</v>
      </c>
      <c r="Y67" s="13">
        <v>2</v>
      </c>
      <c r="Z67" s="13">
        <v>2</v>
      </c>
      <c r="AA67" s="13">
        <v>2</v>
      </c>
      <c r="AB67" s="13">
        <v>2</v>
      </c>
      <c r="AC67" s="13">
        <v>2</v>
      </c>
      <c r="AD67" s="13">
        <v>4</v>
      </c>
      <c r="AE67" s="13">
        <v>3</v>
      </c>
      <c r="AF67" s="13">
        <v>3</v>
      </c>
      <c r="AG67" s="13">
        <v>0</v>
      </c>
      <c r="AH67" s="13">
        <v>2</v>
      </c>
      <c r="AI67" s="85">
        <v>2</v>
      </c>
      <c r="AJ67" s="13">
        <v>3</v>
      </c>
      <c r="AK67" s="13">
        <v>3</v>
      </c>
      <c r="AL67" s="13">
        <v>3</v>
      </c>
      <c r="AM67" s="13">
        <v>4</v>
      </c>
      <c r="AN67" s="13">
        <v>0</v>
      </c>
      <c r="AO67" s="13">
        <v>3</v>
      </c>
      <c r="AP67" s="13">
        <v>3</v>
      </c>
      <c r="AQ67" s="13">
        <v>0</v>
      </c>
      <c r="AR67" s="13">
        <v>3</v>
      </c>
      <c r="AS67" s="13">
        <v>3</v>
      </c>
      <c r="AT67" s="25">
        <v>2</v>
      </c>
    </row>
    <row r="68" spans="1:46" ht="12.75" hidden="1" customHeight="1" x14ac:dyDescent="0.3">
      <c r="A68" s="157" t="s">
        <v>21</v>
      </c>
      <c r="B68" s="117">
        <v>46187</v>
      </c>
      <c r="C68" s="143">
        <v>0.58333333333333337</v>
      </c>
      <c r="D68" s="137" t="s">
        <v>87</v>
      </c>
      <c r="E68" s="122" t="s">
        <v>52</v>
      </c>
      <c r="F68" s="122" t="s">
        <v>55</v>
      </c>
      <c r="G68" s="153">
        <v>2</v>
      </c>
      <c r="H68" s="153">
        <v>2</v>
      </c>
      <c r="I68" s="115" t="str">
        <f t="shared" ref="I68" si="11">IF(G68="","-",IF(G68&gt;H68,"L",IF(G68=H68,"E",IF(G68&lt;H68,"V"))))</f>
        <v>E</v>
      </c>
      <c r="J68" s="27" t="s">
        <v>16</v>
      </c>
      <c r="K68" s="19" t="s">
        <v>7</v>
      </c>
      <c r="L68" s="19" t="s">
        <v>7</v>
      </c>
      <c r="M68" s="19" t="s">
        <v>7</v>
      </c>
      <c r="N68" s="19" t="s">
        <v>7</v>
      </c>
      <c r="O68" s="19" t="s">
        <v>7</v>
      </c>
      <c r="P68" s="19" t="s">
        <v>16</v>
      </c>
      <c r="Q68" s="19" t="s">
        <v>7</v>
      </c>
      <c r="R68" s="19" t="s">
        <v>16</v>
      </c>
      <c r="S68" s="19" t="s">
        <v>16</v>
      </c>
      <c r="T68" s="19" t="s">
        <v>7</v>
      </c>
      <c r="U68" s="19" t="s">
        <v>16</v>
      </c>
      <c r="V68" s="19" t="s">
        <v>15</v>
      </c>
      <c r="W68" s="19" t="s">
        <v>7</v>
      </c>
      <c r="X68" s="19" t="s">
        <v>7</v>
      </c>
      <c r="Y68" s="19" t="s">
        <v>7</v>
      </c>
      <c r="Z68" s="19" t="s">
        <v>16</v>
      </c>
      <c r="AA68" s="19" t="s">
        <v>7</v>
      </c>
      <c r="AB68" s="19" t="s">
        <v>7</v>
      </c>
      <c r="AC68" s="19" t="s">
        <v>7</v>
      </c>
      <c r="AD68" s="19" t="s">
        <v>7</v>
      </c>
      <c r="AE68" s="19" t="s">
        <v>16</v>
      </c>
      <c r="AF68" s="19" t="s">
        <v>15</v>
      </c>
      <c r="AG68" s="19" t="s">
        <v>7</v>
      </c>
      <c r="AH68" s="19" t="s">
        <v>16</v>
      </c>
      <c r="AI68" s="87" t="s">
        <v>7</v>
      </c>
      <c r="AJ68" s="19" t="s">
        <v>15</v>
      </c>
      <c r="AK68" s="19" t="s">
        <v>7</v>
      </c>
      <c r="AL68" s="19" t="s">
        <v>16</v>
      </c>
      <c r="AM68" s="19" t="s">
        <v>7</v>
      </c>
      <c r="AN68" s="19" t="s">
        <v>7</v>
      </c>
      <c r="AO68" s="19" t="s">
        <v>7</v>
      </c>
      <c r="AP68" s="19" t="s">
        <v>15</v>
      </c>
      <c r="AQ68" s="19" t="s">
        <v>7</v>
      </c>
      <c r="AR68" s="19" t="s">
        <v>15</v>
      </c>
      <c r="AS68" s="19" t="s">
        <v>7</v>
      </c>
      <c r="AT68" s="28" t="s">
        <v>7</v>
      </c>
    </row>
    <row r="69" spans="1:46" ht="12.75" hidden="1" customHeight="1" x14ac:dyDescent="0.3">
      <c r="A69" s="158"/>
      <c r="B69" s="118"/>
      <c r="C69" s="118"/>
      <c r="D69" s="123"/>
      <c r="E69" s="123"/>
      <c r="F69" s="123"/>
      <c r="G69" s="154"/>
      <c r="H69" s="154"/>
      <c r="I69" s="116"/>
      <c r="J69" s="27">
        <v>2</v>
      </c>
      <c r="K69" s="19">
        <v>3</v>
      </c>
      <c r="L69" s="19">
        <v>3</v>
      </c>
      <c r="M69" s="19">
        <v>3</v>
      </c>
      <c r="N69" s="19">
        <v>3</v>
      </c>
      <c r="O69" s="19">
        <v>3</v>
      </c>
      <c r="P69" s="19">
        <v>2</v>
      </c>
      <c r="Q69" s="19">
        <v>3</v>
      </c>
      <c r="R69" s="19">
        <v>2</v>
      </c>
      <c r="S69" s="19">
        <v>4</v>
      </c>
      <c r="T69" s="19">
        <v>3</v>
      </c>
      <c r="U69" s="19">
        <v>2</v>
      </c>
      <c r="V69" s="19">
        <v>3</v>
      </c>
      <c r="W69" s="19">
        <v>3</v>
      </c>
      <c r="X69" s="19">
        <v>2</v>
      </c>
      <c r="Y69" s="19">
        <v>2</v>
      </c>
      <c r="Z69" s="19">
        <v>2</v>
      </c>
      <c r="AA69" s="19">
        <v>3</v>
      </c>
      <c r="AB69" s="19">
        <v>3</v>
      </c>
      <c r="AC69" s="19">
        <v>3</v>
      </c>
      <c r="AD69" s="19">
        <v>4</v>
      </c>
      <c r="AE69" s="19">
        <v>2</v>
      </c>
      <c r="AF69" s="19">
        <v>3</v>
      </c>
      <c r="AG69" s="19">
        <v>2</v>
      </c>
      <c r="AH69" s="19">
        <v>4</v>
      </c>
      <c r="AI69" s="87">
        <v>2</v>
      </c>
      <c r="AJ69" s="19">
        <v>3</v>
      </c>
      <c r="AK69" s="19">
        <v>5</v>
      </c>
      <c r="AL69" s="19">
        <v>4</v>
      </c>
      <c r="AM69" s="19">
        <v>3</v>
      </c>
      <c r="AN69" s="19">
        <v>2</v>
      </c>
      <c r="AO69" s="19">
        <v>3</v>
      </c>
      <c r="AP69" s="19">
        <v>3</v>
      </c>
      <c r="AQ69" s="19">
        <v>2</v>
      </c>
      <c r="AR69" s="19">
        <v>5</v>
      </c>
      <c r="AS69" s="19">
        <v>5</v>
      </c>
      <c r="AT69" s="28">
        <v>3</v>
      </c>
    </row>
    <row r="70" spans="1:46" ht="12.75" hidden="1" customHeight="1" x14ac:dyDescent="0.3">
      <c r="A70" s="158"/>
      <c r="B70" s="117">
        <v>46187</v>
      </c>
      <c r="C70" s="143">
        <v>0.83333333333333337</v>
      </c>
      <c r="D70" s="137" t="s">
        <v>82</v>
      </c>
      <c r="E70" s="122" t="s">
        <v>53</v>
      </c>
      <c r="F70" s="122" t="s">
        <v>54</v>
      </c>
      <c r="G70" s="153">
        <v>5</v>
      </c>
      <c r="H70" s="153">
        <v>1</v>
      </c>
      <c r="I70" s="115" t="str">
        <f t="shared" ref="I70" si="12">IF(G70="","-",IF(G70&gt;H70,"L",IF(G70=H70,"E",IF(G70&lt;H70,"V"))))</f>
        <v>L</v>
      </c>
      <c r="J70" s="26" t="s">
        <v>7</v>
      </c>
      <c r="K70" s="13" t="s">
        <v>7</v>
      </c>
      <c r="L70" s="13" t="s">
        <v>7</v>
      </c>
      <c r="M70" s="13" t="s">
        <v>16</v>
      </c>
      <c r="N70" s="13" t="s">
        <v>7</v>
      </c>
      <c r="O70" s="13" t="s">
        <v>7</v>
      </c>
      <c r="P70" s="13" t="s">
        <v>7</v>
      </c>
      <c r="Q70" s="13" t="s">
        <v>16</v>
      </c>
      <c r="R70" s="13" t="s">
        <v>7</v>
      </c>
      <c r="S70" s="13" t="s">
        <v>7</v>
      </c>
      <c r="T70" s="13" t="s">
        <v>7</v>
      </c>
      <c r="U70" s="13" t="s">
        <v>7</v>
      </c>
      <c r="V70" s="13" t="s">
        <v>7</v>
      </c>
      <c r="W70" s="13" t="s">
        <v>7</v>
      </c>
      <c r="X70" s="13" t="s">
        <v>7</v>
      </c>
      <c r="Y70" s="13" t="s">
        <v>7</v>
      </c>
      <c r="Z70" s="13" t="s">
        <v>7</v>
      </c>
      <c r="AA70" s="13" t="s">
        <v>7</v>
      </c>
      <c r="AB70" s="13" t="s">
        <v>7</v>
      </c>
      <c r="AC70" s="13" t="s">
        <v>7</v>
      </c>
      <c r="AD70" s="13" t="s">
        <v>15</v>
      </c>
      <c r="AE70" s="13" t="s">
        <v>7</v>
      </c>
      <c r="AF70" s="13" t="s">
        <v>7</v>
      </c>
      <c r="AG70" s="13" t="s">
        <v>7</v>
      </c>
      <c r="AH70" s="13" t="s">
        <v>16</v>
      </c>
      <c r="AI70" s="85" t="s">
        <v>7</v>
      </c>
      <c r="AJ70" s="13" t="s">
        <v>7</v>
      </c>
      <c r="AK70" s="13" t="s">
        <v>15</v>
      </c>
      <c r="AL70" s="13" t="s">
        <v>7</v>
      </c>
      <c r="AM70" s="13" t="s">
        <v>16</v>
      </c>
      <c r="AN70" s="13" t="s">
        <v>16</v>
      </c>
      <c r="AO70" s="13" t="s">
        <v>7</v>
      </c>
      <c r="AP70" s="13" t="s">
        <v>7</v>
      </c>
      <c r="AQ70" s="13" t="s">
        <v>16</v>
      </c>
      <c r="AR70" s="13" t="s">
        <v>15</v>
      </c>
      <c r="AS70" s="13" t="s">
        <v>16</v>
      </c>
      <c r="AT70" s="25" t="s">
        <v>7</v>
      </c>
    </row>
    <row r="71" spans="1:46" ht="12.75" hidden="1" customHeight="1" x14ac:dyDescent="0.3">
      <c r="A71" s="158"/>
      <c r="B71" s="118"/>
      <c r="C71" s="118"/>
      <c r="D71" s="123"/>
      <c r="E71" s="123"/>
      <c r="F71" s="123"/>
      <c r="G71" s="154"/>
      <c r="H71" s="154"/>
      <c r="I71" s="116"/>
      <c r="J71" s="26">
        <v>2</v>
      </c>
      <c r="K71" s="13">
        <v>2</v>
      </c>
      <c r="L71" s="13">
        <v>2</v>
      </c>
      <c r="M71" s="13">
        <v>2</v>
      </c>
      <c r="N71" s="13">
        <v>1</v>
      </c>
      <c r="O71" s="13">
        <v>1</v>
      </c>
      <c r="P71" s="13">
        <v>2</v>
      </c>
      <c r="Q71" s="13">
        <v>2</v>
      </c>
      <c r="R71" s="13">
        <v>2</v>
      </c>
      <c r="S71" s="13">
        <v>2</v>
      </c>
      <c r="T71" s="13">
        <v>3</v>
      </c>
      <c r="U71" s="13">
        <v>1</v>
      </c>
      <c r="V71" s="13">
        <v>3</v>
      </c>
      <c r="W71" s="13">
        <v>2</v>
      </c>
      <c r="X71" s="13">
        <v>2</v>
      </c>
      <c r="Y71" s="13">
        <v>2</v>
      </c>
      <c r="Z71" s="13">
        <v>1</v>
      </c>
      <c r="AA71" s="13">
        <v>1</v>
      </c>
      <c r="AB71" s="13">
        <v>2</v>
      </c>
      <c r="AC71" s="13">
        <v>2</v>
      </c>
      <c r="AD71" s="13">
        <v>2</v>
      </c>
      <c r="AE71" s="13">
        <v>2</v>
      </c>
      <c r="AF71" s="13">
        <v>2</v>
      </c>
      <c r="AG71" s="13">
        <v>3</v>
      </c>
      <c r="AH71" s="13">
        <v>2</v>
      </c>
      <c r="AI71" s="85">
        <v>2</v>
      </c>
      <c r="AJ71" s="13">
        <v>2</v>
      </c>
      <c r="AK71" s="13">
        <v>2</v>
      </c>
      <c r="AL71" s="13">
        <v>4</v>
      </c>
      <c r="AM71" s="13">
        <v>4</v>
      </c>
      <c r="AN71" s="13">
        <v>2</v>
      </c>
      <c r="AO71" s="13">
        <v>3</v>
      </c>
      <c r="AP71" s="13">
        <v>3</v>
      </c>
      <c r="AQ71" s="13">
        <v>1</v>
      </c>
      <c r="AR71" s="13">
        <v>1</v>
      </c>
      <c r="AS71" s="13">
        <v>2</v>
      </c>
      <c r="AT71" s="25">
        <v>3</v>
      </c>
    </row>
    <row r="72" spans="1:46" ht="12.75" hidden="1" customHeight="1" x14ac:dyDescent="0.3">
      <c r="A72" s="158"/>
      <c r="B72" s="117">
        <v>46193</v>
      </c>
      <c r="C72" s="143">
        <v>0.45833333333333331</v>
      </c>
      <c r="D72" s="137" t="s">
        <v>86</v>
      </c>
      <c r="E72" s="122" t="s">
        <v>52</v>
      </c>
      <c r="F72" s="122" t="s">
        <v>53</v>
      </c>
      <c r="G72" s="153">
        <v>5</v>
      </c>
      <c r="H72" s="153">
        <v>1</v>
      </c>
      <c r="I72" s="115" t="str">
        <f t="shared" ref="I72" si="13">IF(G72="","-",IF(G72&gt;H72,"L",IF(G72=H72,"E",IF(G72&lt;H72,"V"))))</f>
        <v>L</v>
      </c>
      <c r="J72" s="27" t="s">
        <v>7</v>
      </c>
      <c r="K72" s="19" t="s">
        <v>7</v>
      </c>
      <c r="L72" s="19" t="s">
        <v>16</v>
      </c>
      <c r="M72" s="19" t="s">
        <v>7</v>
      </c>
      <c r="N72" s="19" t="s">
        <v>16</v>
      </c>
      <c r="O72" s="19" t="s">
        <v>7</v>
      </c>
      <c r="P72" s="19" t="s">
        <v>16</v>
      </c>
      <c r="Q72" s="19" t="s">
        <v>7</v>
      </c>
      <c r="R72" s="19" t="s">
        <v>7</v>
      </c>
      <c r="S72" s="19" t="s">
        <v>7</v>
      </c>
      <c r="T72" s="19" t="s">
        <v>7</v>
      </c>
      <c r="U72" s="19" t="s">
        <v>7</v>
      </c>
      <c r="V72" s="19" t="s">
        <v>7</v>
      </c>
      <c r="W72" s="19" t="s">
        <v>7</v>
      </c>
      <c r="X72" s="19" t="s">
        <v>16</v>
      </c>
      <c r="Y72" s="19" t="s">
        <v>16</v>
      </c>
      <c r="Z72" s="19" t="s">
        <v>16</v>
      </c>
      <c r="AA72" s="19" t="s">
        <v>7</v>
      </c>
      <c r="AB72" s="19" t="s">
        <v>7</v>
      </c>
      <c r="AC72" s="19" t="s">
        <v>16</v>
      </c>
      <c r="AD72" s="19" t="s">
        <v>7</v>
      </c>
      <c r="AE72" s="19" t="s">
        <v>7</v>
      </c>
      <c r="AF72" s="19" t="s">
        <v>7</v>
      </c>
      <c r="AG72" s="19" t="s">
        <v>16</v>
      </c>
      <c r="AH72" s="19" t="s">
        <v>7</v>
      </c>
      <c r="AI72" s="87" t="s">
        <v>16</v>
      </c>
      <c r="AJ72" s="19" t="s">
        <v>7</v>
      </c>
      <c r="AK72" s="19" t="s">
        <v>7</v>
      </c>
      <c r="AL72" s="19" t="s">
        <v>7</v>
      </c>
      <c r="AM72" s="19" t="s">
        <v>7</v>
      </c>
      <c r="AN72" s="19" t="s">
        <v>7</v>
      </c>
      <c r="AO72" s="19" t="s">
        <v>7</v>
      </c>
      <c r="AP72" s="19" t="s">
        <v>16</v>
      </c>
      <c r="AQ72" s="19" t="s">
        <v>16</v>
      </c>
      <c r="AR72" s="19" t="s">
        <v>7</v>
      </c>
      <c r="AS72" s="19" t="s">
        <v>7</v>
      </c>
      <c r="AT72" s="28" t="s">
        <v>15</v>
      </c>
    </row>
    <row r="73" spans="1:46" ht="12.75" hidden="1" customHeight="1" x14ac:dyDescent="0.3">
      <c r="A73" s="158"/>
      <c r="B73" s="118"/>
      <c r="C73" s="118"/>
      <c r="D73" s="123"/>
      <c r="E73" s="123"/>
      <c r="F73" s="123"/>
      <c r="G73" s="154"/>
      <c r="H73" s="154"/>
      <c r="I73" s="116"/>
      <c r="J73" s="27">
        <v>3</v>
      </c>
      <c r="K73" s="19">
        <v>3</v>
      </c>
      <c r="L73" s="19">
        <v>2</v>
      </c>
      <c r="M73" s="19">
        <v>2</v>
      </c>
      <c r="N73" s="19">
        <v>4</v>
      </c>
      <c r="O73" s="19">
        <v>3</v>
      </c>
      <c r="P73" s="19">
        <v>2</v>
      </c>
      <c r="Q73" s="19">
        <v>2</v>
      </c>
      <c r="R73" s="19">
        <v>3</v>
      </c>
      <c r="S73" s="19">
        <v>2</v>
      </c>
      <c r="T73" s="19">
        <v>3</v>
      </c>
      <c r="U73" s="19">
        <v>2</v>
      </c>
      <c r="V73" s="19">
        <v>3</v>
      </c>
      <c r="W73" s="19">
        <v>2</v>
      </c>
      <c r="X73" s="19">
        <v>4</v>
      </c>
      <c r="Y73" s="19">
        <v>2</v>
      </c>
      <c r="Z73" s="19">
        <v>2</v>
      </c>
      <c r="AA73" s="19">
        <v>2</v>
      </c>
      <c r="AB73" s="19">
        <v>2</v>
      </c>
      <c r="AC73" s="19">
        <v>4</v>
      </c>
      <c r="AD73" s="19">
        <v>3</v>
      </c>
      <c r="AE73" s="19">
        <v>3</v>
      </c>
      <c r="AF73" s="19">
        <v>3</v>
      </c>
      <c r="AG73" s="19">
        <v>4</v>
      </c>
      <c r="AH73" s="19">
        <v>3</v>
      </c>
      <c r="AI73" s="87">
        <v>2</v>
      </c>
      <c r="AJ73" s="19">
        <v>3</v>
      </c>
      <c r="AK73" s="19">
        <v>3</v>
      </c>
      <c r="AL73" s="19">
        <v>2</v>
      </c>
      <c r="AM73" s="19">
        <v>5</v>
      </c>
      <c r="AN73" s="19">
        <v>3</v>
      </c>
      <c r="AO73" s="19">
        <v>2</v>
      </c>
      <c r="AP73" s="19">
        <v>4</v>
      </c>
      <c r="AQ73" s="19">
        <v>0</v>
      </c>
      <c r="AR73" s="19">
        <v>2</v>
      </c>
      <c r="AS73" s="19">
        <v>4</v>
      </c>
      <c r="AT73" s="28">
        <v>3</v>
      </c>
    </row>
    <row r="74" spans="1:46" ht="12.75" hidden="1" customHeight="1" x14ac:dyDescent="0.3">
      <c r="A74" s="158"/>
      <c r="B74" s="117">
        <v>46193</v>
      </c>
      <c r="C74" s="143">
        <v>0.91666666666666663</v>
      </c>
      <c r="D74" s="137" t="s">
        <v>82</v>
      </c>
      <c r="E74" s="122" t="s">
        <v>54</v>
      </c>
      <c r="F74" s="122" t="s">
        <v>55</v>
      </c>
      <c r="G74" s="153">
        <v>0</v>
      </c>
      <c r="H74" s="153">
        <v>4</v>
      </c>
      <c r="I74" s="115" t="str">
        <f t="shared" ref="I74" si="14">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16</v>
      </c>
      <c r="AC74" s="13" t="s">
        <v>15</v>
      </c>
      <c r="AD74" s="13" t="s">
        <v>15</v>
      </c>
      <c r="AE74" s="13" t="s">
        <v>15</v>
      </c>
      <c r="AF74" s="13" t="s">
        <v>15</v>
      </c>
      <c r="AG74" s="13" t="s">
        <v>15</v>
      </c>
      <c r="AH74" s="13" t="s">
        <v>15</v>
      </c>
      <c r="AI74" s="85" t="s">
        <v>16</v>
      </c>
      <c r="AJ74" s="13" t="s">
        <v>15</v>
      </c>
      <c r="AK74" s="13" t="s">
        <v>16</v>
      </c>
      <c r="AL74" s="13" t="s">
        <v>15</v>
      </c>
      <c r="AM74" s="13" t="s">
        <v>15</v>
      </c>
      <c r="AN74" s="13" t="s">
        <v>15</v>
      </c>
      <c r="AO74" s="13" t="s">
        <v>16</v>
      </c>
      <c r="AP74" s="13" t="s">
        <v>15</v>
      </c>
      <c r="AQ74" s="13" t="s">
        <v>15</v>
      </c>
      <c r="AR74" s="13" t="s">
        <v>15</v>
      </c>
      <c r="AS74" s="13" t="s">
        <v>16</v>
      </c>
      <c r="AT74" s="25" t="s">
        <v>15</v>
      </c>
    </row>
    <row r="75" spans="1:46" ht="12.75" hidden="1" customHeight="1" x14ac:dyDescent="0.3">
      <c r="A75" s="158"/>
      <c r="B75" s="118"/>
      <c r="C75" s="118"/>
      <c r="D75" s="123"/>
      <c r="E75" s="123"/>
      <c r="F75" s="123"/>
      <c r="G75" s="154"/>
      <c r="H75" s="154"/>
      <c r="I75" s="116"/>
      <c r="J75" s="26">
        <v>2</v>
      </c>
      <c r="K75" s="13">
        <v>3</v>
      </c>
      <c r="L75" s="13">
        <v>2</v>
      </c>
      <c r="M75" s="13">
        <v>1</v>
      </c>
      <c r="N75" s="13">
        <v>3</v>
      </c>
      <c r="O75" s="13">
        <v>3</v>
      </c>
      <c r="P75" s="13">
        <v>2</v>
      </c>
      <c r="Q75" s="13">
        <v>3</v>
      </c>
      <c r="R75" s="13">
        <v>2</v>
      </c>
      <c r="S75" s="13">
        <v>2</v>
      </c>
      <c r="T75" s="13">
        <v>2</v>
      </c>
      <c r="U75" s="13">
        <v>3</v>
      </c>
      <c r="V75" s="13">
        <v>3</v>
      </c>
      <c r="W75" s="13">
        <v>3</v>
      </c>
      <c r="X75" s="13">
        <v>2</v>
      </c>
      <c r="Y75" s="13">
        <v>2</v>
      </c>
      <c r="Z75" s="13">
        <v>1</v>
      </c>
      <c r="AA75" s="13">
        <v>1</v>
      </c>
      <c r="AB75" s="13">
        <v>2</v>
      </c>
      <c r="AC75" s="13">
        <v>2</v>
      </c>
      <c r="AD75" s="13">
        <v>3</v>
      </c>
      <c r="AE75" s="13">
        <v>3</v>
      </c>
      <c r="AF75" s="13">
        <v>3</v>
      </c>
      <c r="AG75" s="13">
        <v>3</v>
      </c>
      <c r="AH75" s="13">
        <v>2</v>
      </c>
      <c r="AI75" s="85">
        <v>2</v>
      </c>
      <c r="AJ75" s="13">
        <v>3</v>
      </c>
      <c r="AK75" s="13">
        <v>4</v>
      </c>
      <c r="AL75" s="13">
        <v>3</v>
      </c>
      <c r="AM75" s="13">
        <v>3</v>
      </c>
      <c r="AN75" s="13">
        <v>2</v>
      </c>
      <c r="AO75" s="13">
        <v>1</v>
      </c>
      <c r="AP75" s="13">
        <v>2</v>
      </c>
      <c r="AQ75" s="13">
        <v>1</v>
      </c>
      <c r="AR75" s="13">
        <v>3</v>
      </c>
      <c r="AS75" s="13">
        <v>2</v>
      </c>
      <c r="AT75" s="25">
        <v>2</v>
      </c>
    </row>
    <row r="76" spans="1:46" ht="12.75" hidden="1" customHeight="1" x14ac:dyDescent="0.3">
      <c r="A76" s="158"/>
      <c r="B76" s="117">
        <v>46198</v>
      </c>
      <c r="C76" s="143">
        <v>0.70833333333333337</v>
      </c>
      <c r="D76" s="137" t="s">
        <v>87</v>
      </c>
      <c r="E76" s="122" t="s">
        <v>55</v>
      </c>
      <c r="F76" s="122" t="s">
        <v>53</v>
      </c>
      <c r="G76" s="153">
        <v>1</v>
      </c>
      <c r="H76" s="153">
        <v>1</v>
      </c>
      <c r="I76" s="115" t="str">
        <f t="shared" ref="I76" si="15">IF(G76="","-",IF(G76&gt;H76,"L",IF(G76=H76,"E",IF(G76&lt;H76,"V"))))</f>
        <v>E</v>
      </c>
      <c r="J76" s="27" t="s">
        <v>16</v>
      </c>
      <c r="K76" s="19" t="s">
        <v>16</v>
      </c>
      <c r="L76" s="19" t="s">
        <v>16</v>
      </c>
      <c r="M76" s="19" t="s">
        <v>16</v>
      </c>
      <c r="N76" s="19" t="s">
        <v>16</v>
      </c>
      <c r="O76" s="19" t="s">
        <v>7</v>
      </c>
      <c r="P76" s="19" t="s">
        <v>16</v>
      </c>
      <c r="Q76" s="19" t="s">
        <v>16</v>
      </c>
      <c r="R76" s="19" t="s">
        <v>7</v>
      </c>
      <c r="S76" s="19" t="s">
        <v>16</v>
      </c>
      <c r="T76" s="19" t="s">
        <v>7</v>
      </c>
      <c r="U76" s="19" t="s">
        <v>7</v>
      </c>
      <c r="V76" s="19" t="s">
        <v>7</v>
      </c>
      <c r="W76" s="19" t="s">
        <v>16</v>
      </c>
      <c r="X76" s="19" t="s">
        <v>16</v>
      </c>
      <c r="Y76" s="19" t="s">
        <v>15</v>
      </c>
      <c r="Z76" s="19" t="s">
        <v>7</v>
      </c>
      <c r="AA76" s="19" t="s">
        <v>7</v>
      </c>
      <c r="AB76" s="19" t="s">
        <v>16</v>
      </c>
      <c r="AC76" s="19" t="s">
        <v>16</v>
      </c>
      <c r="AD76" s="19" t="s">
        <v>7</v>
      </c>
      <c r="AE76" s="19" t="s">
        <v>16</v>
      </c>
      <c r="AF76" s="19" t="s">
        <v>7</v>
      </c>
      <c r="AG76" s="19" t="s">
        <v>7</v>
      </c>
      <c r="AH76" s="19" t="s">
        <v>7</v>
      </c>
      <c r="AI76" s="87" t="s">
        <v>16</v>
      </c>
      <c r="AJ76" s="19" t="s">
        <v>7</v>
      </c>
      <c r="AK76" s="19" t="s">
        <v>7</v>
      </c>
      <c r="AL76" s="19" t="s">
        <v>15</v>
      </c>
      <c r="AM76" s="19" t="s">
        <v>16</v>
      </c>
      <c r="AN76" s="19" t="s">
        <v>7</v>
      </c>
      <c r="AO76" s="19" t="s">
        <v>15</v>
      </c>
      <c r="AP76" s="19" t="s">
        <v>15</v>
      </c>
      <c r="AQ76" s="19" t="s">
        <v>7</v>
      </c>
      <c r="AR76" s="19" t="s">
        <v>7</v>
      </c>
      <c r="AS76" s="19" t="s">
        <v>15</v>
      </c>
      <c r="AT76" s="28" t="s">
        <v>16</v>
      </c>
    </row>
    <row r="77" spans="1:46" ht="12.75" hidden="1" customHeight="1" x14ac:dyDescent="0.3">
      <c r="A77" s="158"/>
      <c r="B77" s="118"/>
      <c r="C77" s="118"/>
      <c r="D77" s="123"/>
      <c r="E77" s="123"/>
      <c r="F77" s="123"/>
      <c r="G77" s="154"/>
      <c r="H77" s="154"/>
      <c r="I77" s="116"/>
      <c r="J77" s="27">
        <v>1</v>
      </c>
      <c r="K77" s="19">
        <v>2</v>
      </c>
      <c r="L77" s="19">
        <v>2</v>
      </c>
      <c r="M77" s="19">
        <v>2</v>
      </c>
      <c r="N77" s="19">
        <v>2</v>
      </c>
      <c r="O77" s="19">
        <v>1</v>
      </c>
      <c r="P77" s="19">
        <v>2</v>
      </c>
      <c r="Q77" s="19">
        <v>2</v>
      </c>
      <c r="R77" s="19">
        <v>2</v>
      </c>
      <c r="S77" s="19">
        <v>2</v>
      </c>
      <c r="T77" s="19">
        <v>3</v>
      </c>
      <c r="U77" s="19">
        <v>1</v>
      </c>
      <c r="V77" s="19">
        <v>3</v>
      </c>
      <c r="W77" s="19">
        <v>2</v>
      </c>
      <c r="X77" s="19">
        <v>2</v>
      </c>
      <c r="Y77" s="19">
        <v>1</v>
      </c>
      <c r="Z77" s="19">
        <v>2</v>
      </c>
      <c r="AA77" s="19">
        <v>3</v>
      </c>
      <c r="AB77" s="19">
        <v>2</v>
      </c>
      <c r="AC77" s="19">
        <v>2</v>
      </c>
      <c r="AD77" s="19">
        <v>2</v>
      </c>
      <c r="AE77" s="19">
        <v>4</v>
      </c>
      <c r="AF77" s="19">
        <v>2</v>
      </c>
      <c r="AG77" s="19">
        <v>1</v>
      </c>
      <c r="AH77" s="19">
        <v>3</v>
      </c>
      <c r="AI77" s="87">
        <v>2</v>
      </c>
      <c r="AJ77" s="19">
        <v>1</v>
      </c>
      <c r="AK77" s="19">
        <v>3</v>
      </c>
      <c r="AL77" s="19">
        <v>3</v>
      </c>
      <c r="AM77" s="19">
        <v>4</v>
      </c>
      <c r="AN77" s="19">
        <v>3</v>
      </c>
      <c r="AO77" s="19">
        <v>2</v>
      </c>
      <c r="AP77" s="19">
        <v>1</v>
      </c>
      <c r="AQ77" s="19">
        <v>1</v>
      </c>
      <c r="AR77" s="19">
        <v>2</v>
      </c>
      <c r="AS77" s="19">
        <v>4</v>
      </c>
      <c r="AT77" s="28">
        <v>4</v>
      </c>
    </row>
    <row r="78" spans="1:46" ht="12.75" hidden="1" customHeight="1" x14ac:dyDescent="0.3">
      <c r="A78" s="158"/>
      <c r="B78" s="117">
        <v>46198</v>
      </c>
      <c r="C78" s="143">
        <v>0.70833333333333337</v>
      </c>
      <c r="D78" s="137" t="s">
        <v>92</v>
      </c>
      <c r="E78" s="122" t="s">
        <v>54</v>
      </c>
      <c r="F78" s="122" t="s">
        <v>52</v>
      </c>
      <c r="G78" s="153">
        <v>1</v>
      </c>
      <c r="H78" s="153">
        <v>3</v>
      </c>
      <c r="I78" s="115" t="str">
        <f t="shared" ref="I78" si="16">IF(G78="","-",IF(G78&gt;H78,"L",IF(G78=H78,"E",IF(G78&lt;H78,"V"))))</f>
        <v>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85" t="s">
        <v>15</v>
      </c>
      <c r="AJ78" s="13" t="s">
        <v>15</v>
      </c>
      <c r="AK78" s="13" t="s">
        <v>15</v>
      </c>
      <c r="AL78" s="13" t="s">
        <v>15</v>
      </c>
      <c r="AM78" s="13" t="s">
        <v>15</v>
      </c>
      <c r="AN78" s="13" t="s">
        <v>15</v>
      </c>
      <c r="AO78" s="13" t="s">
        <v>15</v>
      </c>
      <c r="AP78" s="13" t="s">
        <v>15</v>
      </c>
      <c r="AQ78" s="13" t="s">
        <v>15</v>
      </c>
      <c r="AR78" s="13" t="s">
        <v>16</v>
      </c>
      <c r="AS78" s="13" t="s">
        <v>15</v>
      </c>
      <c r="AT78" s="25" t="s">
        <v>15</v>
      </c>
    </row>
    <row r="79" spans="1:46" ht="12.75" hidden="1" customHeight="1" x14ac:dyDescent="0.3">
      <c r="A79" s="159"/>
      <c r="B79" s="118"/>
      <c r="C79" s="118"/>
      <c r="D79" s="123"/>
      <c r="E79" s="123"/>
      <c r="F79" s="123"/>
      <c r="G79" s="154"/>
      <c r="H79" s="154"/>
      <c r="I79" s="116"/>
      <c r="J79" s="88">
        <v>2</v>
      </c>
      <c r="K79" s="14">
        <v>4</v>
      </c>
      <c r="L79" s="14">
        <v>3</v>
      </c>
      <c r="M79" s="14">
        <v>3</v>
      </c>
      <c r="N79" s="14">
        <v>2</v>
      </c>
      <c r="O79" s="14">
        <v>3</v>
      </c>
      <c r="P79" s="14">
        <v>2</v>
      </c>
      <c r="Q79" s="14">
        <v>3</v>
      </c>
      <c r="R79" s="14">
        <v>3</v>
      </c>
      <c r="S79" s="14">
        <v>2</v>
      </c>
      <c r="T79" s="14">
        <v>2</v>
      </c>
      <c r="U79" s="14">
        <v>3</v>
      </c>
      <c r="V79" s="14">
        <v>2</v>
      </c>
      <c r="W79" s="14">
        <v>3</v>
      </c>
      <c r="X79" s="14">
        <v>4</v>
      </c>
      <c r="Y79" s="14">
        <v>2</v>
      </c>
      <c r="Z79" s="14">
        <v>3</v>
      </c>
      <c r="AA79" s="14">
        <v>2</v>
      </c>
      <c r="AB79" s="14">
        <v>3</v>
      </c>
      <c r="AC79" s="14">
        <v>4</v>
      </c>
      <c r="AD79" s="14">
        <v>3</v>
      </c>
      <c r="AE79" s="14">
        <v>3</v>
      </c>
      <c r="AF79" s="14">
        <v>3</v>
      </c>
      <c r="AG79" s="14">
        <v>3</v>
      </c>
      <c r="AH79" s="14">
        <v>3</v>
      </c>
      <c r="AI79" s="89">
        <v>3</v>
      </c>
      <c r="AJ79" s="14">
        <v>3</v>
      </c>
      <c r="AK79" s="14">
        <v>3</v>
      </c>
      <c r="AL79" s="14">
        <v>5</v>
      </c>
      <c r="AM79" s="14">
        <v>2</v>
      </c>
      <c r="AN79" s="14">
        <v>3</v>
      </c>
      <c r="AO79" s="14">
        <v>2</v>
      </c>
      <c r="AP79" s="14">
        <v>2</v>
      </c>
      <c r="AQ79" s="14">
        <v>1</v>
      </c>
      <c r="AR79" s="14">
        <v>4</v>
      </c>
      <c r="AS79" s="14">
        <v>5</v>
      </c>
      <c r="AT79" s="29">
        <v>3</v>
      </c>
    </row>
    <row r="80" spans="1:46" ht="12.75" hidden="1" customHeight="1" x14ac:dyDescent="0.3">
      <c r="A80" s="133" t="s">
        <v>47</v>
      </c>
      <c r="B80" s="101">
        <v>46188</v>
      </c>
      <c r="C80" s="142">
        <v>0.79166666666666663</v>
      </c>
      <c r="D80" s="136" t="s">
        <v>81</v>
      </c>
      <c r="E80" s="105" t="s">
        <v>56</v>
      </c>
      <c r="F80" s="105" t="s">
        <v>57</v>
      </c>
      <c r="G80" s="155">
        <v>2</v>
      </c>
      <c r="H80" s="155">
        <v>2</v>
      </c>
      <c r="I80" s="107" t="str">
        <f>IF(G80="","-",IF(G80&gt;H80,"L",IF(G80=H80,"E",IF(G80&lt;H80,"V"))))</f>
        <v>E</v>
      </c>
      <c r="J80" s="23" t="s">
        <v>7</v>
      </c>
      <c r="K80" s="18" t="s">
        <v>7</v>
      </c>
      <c r="L80" s="18" t="s">
        <v>16</v>
      </c>
      <c r="M80" s="18" t="s">
        <v>7</v>
      </c>
      <c r="N80" s="18" t="s">
        <v>7</v>
      </c>
      <c r="O80" s="18" t="s">
        <v>7</v>
      </c>
      <c r="P80" s="18" t="s">
        <v>16</v>
      </c>
      <c r="Q80" s="18" t="s">
        <v>7</v>
      </c>
      <c r="R80" s="18" t="s">
        <v>7</v>
      </c>
      <c r="S80" s="18" t="s">
        <v>16</v>
      </c>
      <c r="T80" s="18" t="s">
        <v>7</v>
      </c>
      <c r="U80" s="18" t="s">
        <v>7</v>
      </c>
      <c r="V80" s="18" t="s">
        <v>15</v>
      </c>
      <c r="W80" s="18" t="s">
        <v>7</v>
      </c>
      <c r="X80" s="18" t="s">
        <v>7</v>
      </c>
      <c r="Y80" s="18" t="s">
        <v>7</v>
      </c>
      <c r="Z80" s="18" t="s">
        <v>16</v>
      </c>
      <c r="AA80" s="18" t="s">
        <v>7</v>
      </c>
      <c r="AB80" s="18" t="s">
        <v>7</v>
      </c>
      <c r="AC80" s="18" t="s">
        <v>7</v>
      </c>
      <c r="AD80" s="18" t="s">
        <v>16</v>
      </c>
      <c r="AE80" s="18" t="s">
        <v>16</v>
      </c>
      <c r="AF80" s="18" t="s">
        <v>15</v>
      </c>
      <c r="AG80" s="18" t="s">
        <v>16</v>
      </c>
      <c r="AH80" s="18" t="s">
        <v>16</v>
      </c>
      <c r="AI80" s="83" t="s">
        <v>16</v>
      </c>
      <c r="AJ80" s="18" t="s">
        <v>7</v>
      </c>
      <c r="AK80" s="18" t="s">
        <v>7</v>
      </c>
      <c r="AL80" s="18" t="s">
        <v>7</v>
      </c>
      <c r="AM80" s="18" t="s">
        <v>7</v>
      </c>
      <c r="AN80" s="18" t="s">
        <v>16</v>
      </c>
      <c r="AO80" s="18" t="s">
        <v>16</v>
      </c>
      <c r="AP80" s="18" t="s">
        <v>16</v>
      </c>
      <c r="AQ80" s="18" t="s">
        <v>16</v>
      </c>
      <c r="AR80" s="18" t="s">
        <v>7</v>
      </c>
      <c r="AS80" s="18" t="s">
        <v>15</v>
      </c>
      <c r="AT80" s="24" t="s">
        <v>7</v>
      </c>
    </row>
    <row r="81" spans="1:46" ht="12.75" hidden="1" customHeight="1" x14ac:dyDescent="0.3">
      <c r="A81" s="134"/>
      <c r="B81" s="102"/>
      <c r="C81" s="102"/>
      <c r="D81" s="106"/>
      <c r="E81" s="106"/>
      <c r="F81" s="106"/>
      <c r="G81" s="156"/>
      <c r="H81" s="156"/>
      <c r="I81" s="108"/>
      <c r="J81" s="23">
        <v>2</v>
      </c>
      <c r="K81" s="18">
        <v>1</v>
      </c>
      <c r="L81" s="18">
        <v>2</v>
      </c>
      <c r="M81" s="18">
        <v>2</v>
      </c>
      <c r="N81" s="18">
        <v>1</v>
      </c>
      <c r="O81" s="18">
        <v>1</v>
      </c>
      <c r="P81" s="18">
        <v>2</v>
      </c>
      <c r="Q81" s="18">
        <v>2</v>
      </c>
      <c r="R81" s="18">
        <v>1</v>
      </c>
      <c r="S81" s="18">
        <v>2</v>
      </c>
      <c r="T81" s="18">
        <v>1</v>
      </c>
      <c r="U81" s="18">
        <v>1</v>
      </c>
      <c r="V81" s="18">
        <v>1</v>
      </c>
      <c r="W81" s="18">
        <v>2</v>
      </c>
      <c r="X81" s="18">
        <v>1</v>
      </c>
      <c r="Y81" s="18">
        <v>2</v>
      </c>
      <c r="Z81" s="18">
        <v>0</v>
      </c>
      <c r="AA81" s="18">
        <v>2</v>
      </c>
      <c r="AB81" s="18">
        <v>2</v>
      </c>
      <c r="AC81" s="18">
        <v>1</v>
      </c>
      <c r="AD81" s="18">
        <v>4</v>
      </c>
      <c r="AE81" s="18">
        <v>2</v>
      </c>
      <c r="AF81" s="18">
        <v>3</v>
      </c>
      <c r="AG81" s="18">
        <v>2</v>
      </c>
      <c r="AH81" s="18">
        <v>2</v>
      </c>
      <c r="AI81" s="83">
        <v>2</v>
      </c>
      <c r="AJ81" s="18">
        <v>1</v>
      </c>
      <c r="AK81" s="18">
        <v>3</v>
      </c>
      <c r="AL81" s="18">
        <v>3</v>
      </c>
      <c r="AM81" s="18">
        <v>3</v>
      </c>
      <c r="AN81" s="18">
        <v>2</v>
      </c>
      <c r="AO81" s="18">
        <v>1</v>
      </c>
      <c r="AP81" s="18">
        <v>0</v>
      </c>
      <c r="AQ81" s="18">
        <v>2</v>
      </c>
      <c r="AR81" s="18">
        <v>1</v>
      </c>
      <c r="AS81" s="18">
        <v>3</v>
      </c>
      <c r="AT81" s="24">
        <v>1</v>
      </c>
    </row>
    <row r="82" spans="1:46" ht="12.75" hidden="1" customHeight="1" x14ac:dyDescent="0.3">
      <c r="A82" s="134"/>
      <c r="B82" s="101">
        <v>46188</v>
      </c>
      <c r="C82" s="142">
        <v>0.54166666666666663</v>
      </c>
      <c r="D82" s="136" t="s">
        <v>85</v>
      </c>
      <c r="E82" s="105" t="s">
        <v>29</v>
      </c>
      <c r="F82" s="105" t="s">
        <v>58</v>
      </c>
      <c r="G82" s="155">
        <v>1</v>
      </c>
      <c r="H82" s="155">
        <v>1</v>
      </c>
      <c r="I82" s="107" t="str">
        <f t="shared" ref="I82" si="17">IF(G82="","-",IF(G82&gt;H82,"L",IF(G82=H82,"E",IF(G82&lt;H82,"V"))))</f>
        <v>E</v>
      </c>
      <c r="J82" s="26" t="s">
        <v>16</v>
      </c>
      <c r="K82" s="13" t="s">
        <v>7</v>
      </c>
      <c r="L82" s="13" t="s">
        <v>7</v>
      </c>
      <c r="M82" s="13" t="s">
        <v>7</v>
      </c>
      <c r="N82" s="13" t="s">
        <v>7</v>
      </c>
      <c r="O82" s="13" t="s">
        <v>7</v>
      </c>
      <c r="P82" s="13" t="s">
        <v>7</v>
      </c>
      <c r="Q82" s="13" t="s">
        <v>7</v>
      </c>
      <c r="R82" s="13" t="s">
        <v>7</v>
      </c>
      <c r="S82" s="13" t="s">
        <v>7</v>
      </c>
      <c r="T82" s="13" t="s">
        <v>7</v>
      </c>
      <c r="U82" s="13" t="s">
        <v>16</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85" t="s">
        <v>7</v>
      </c>
      <c r="AJ82" s="13" t="s">
        <v>7</v>
      </c>
      <c r="AK82" s="13" t="s">
        <v>7</v>
      </c>
      <c r="AL82" s="13" t="s">
        <v>7</v>
      </c>
      <c r="AM82" s="13" t="s">
        <v>7</v>
      </c>
      <c r="AN82" s="13" t="s">
        <v>7</v>
      </c>
      <c r="AO82" s="13" t="s">
        <v>7</v>
      </c>
      <c r="AP82" s="13" t="s">
        <v>7</v>
      </c>
      <c r="AQ82" s="13" t="s">
        <v>7</v>
      </c>
      <c r="AR82" s="13" t="s">
        <v>16</v>
      </c>
      <c r="AS82" s="13" t="s">
        <v>7</v>
      </c>
      <c r="AT82" s="25" t="s">
        <v>7</v>
      </c>
    </row>
    <row r="83" spans="1:46" ht="12.75" hidden="1" customHeight="1" x14ac:dyDescent="0.3">
      <c r="A83" s="134"/>
      <c r="B83" s="102"/>
      <c r="C83" s="102"/>
      <c r="D83" s="106"/>
      <c r="E83" s="106"/>
      <c r="F83" s="106"/>
      <c r="G83" s="156"/>
      <c r="H83" s="156"/>
      <c r="I83" s="108"/>
      <c r="J83" s="26">
        <v>2</v>
      </c>
      <c r="K83" s="13">
        <v>3</v>
      </c>
      <c r="L83" s="13">
        <v>3</v>
      </c>
      <c r="M83" s="13">
        <v>3</v>
      </c>
      <c r="N83" s="13">
        <v>3</v>
      </c>
      <c r="O83" s="13">
        <v>3</v>
      </c>
      <c r="P83" s="13">
        <v>2</v>
      </c>
      <c r="Q83" s="13">
        <v>3</v>
      </c>
      <c r="R83" s="13">
        <v>3</v>
      </c>
      <c r="S83" s="13">
        <v>3</v>
      </c>
      <c r="T83" s="13">
        <v>3</v>
      </c>
      <c r="U83" s="13">
        <v>2</v>
      </c>
      <c r="V83" s="13">
        <v>2</v>
      </c>
      <c r="W83" s="13">
        <v>3</v>
      </c>
      <c r="X83" s="13">
        <v>2</v>
      </c>
      <c r="Y83" s="13">
        <v>3</v>
      </c>
      <c r="Z83" s="13">
        <v>3</v>
      </c>
      <c r="AA83" s="13">
        <v>3</v>
      </c>
      <c r="AB83" s="13">
        <v>3</v>
      </c>
      <c r="AC83" s="13">
        <v>2</v>
      </c>
      <c r="AD83" s="13">
        <v>2</v>
      </c>
      <c r="AE83" s="13">
        <v>3</v>
      </c>
      <c r="AF83" s="13">
        <v>3</v>
      </c>
      <c r="AG83" s="13">
        <v>3</v>
      </c>
      <c r="AH83" s="13">
        <v>2</v>
      </c>
      <c r="AI83" s="85">
        <v>3</v>
      </c>
      <c r="AJ83" s="13">
        <v>1</v>
      </c>
      <c r="AK83" s="13">
        <v>2</v>
      </c>
      <c r="AL83" s="13">
        <v>1</v>
      </c>
      <c r="AM83" s="13">
        <v>5</v>
      </c>
      <c r="AN83" s="13">
        <v>3</v>
      </c>
      <c r="AO83" s="13">
        <v>3</v>
      </c>
      <c r="AP83" s="13">
        <v>2</v>
      </c>
      <c r="AQ83" s="13">
        <v>2</v>
      </c>
      <c r="AR83" s="13">
        <v>4</v>
      </c>
      <c r="AS83" s="13">
        <v>4</v>
      </c>
      <c r="AT83" s="25">
        <v>4</v>
      </c>
    </row>
    <row r="84" spans="1:46" ht="12.75" hidden="1" customHeight="1" x14ac:dyDescent="0.3">
      <c r="A84" s="134"/>
      <c r="B84" s="101">
        <v>46194</v>
      </c>
      <c r="C84" s="142">
        <v>0.54166666666666663</v>
      </c>
      <c r="D84" s="136" t="s">
        <v>81</v>
      </c>
      <c r="E84" s="105" t="s">
        <v>29</v>
      </c>
      <c r="F84" s="105" t="s">
        <v>56</v>
      </c>
      <c r="G84" s="155">
        <v>0</v>
      </c>
      <c r="H84" s="155">
        <v>0</v>
      </c>
      <c r="I84" s="107" t="str">
        <f t="shared" ref="I84" si="18">IF(G84="","-",IF(G84&gt;H84,"L",IF(G84=H84,"E",IF(G84&lt;H84,"V"))))</f>
        <v>E</v>
      </c>
      <c r="J84" s="23" t="s">
        <v>7</v>
      </c>
      <c r="K84" s="18" t="s">
        <v>7</v>
      </c>
      <c r="L84" s="18" t="s">
        <v>7</v>
      </c>
      <c r="M84" s="18" t="s">
        <v>7</v>
      </c>
      <c r="N84" s="18" t="s">
        <v>7</v>
      </c>
      <c r="O84" s="18" t="s">
        <v>7</v>
      </c>
      <c r="P84" s="18" t="s">
        <v>7</v>
      </c>
      <c r="Q84" s="18" t="s">
        <v>16</v>
      </c>
      <c r="R84" s="18" t="s">
        <v>7</v>
      </c>
      <c r="S84" s="18" t="s">
        <v>7</v>
      </c>
      <c r="T84" s="18" t="s">
        <v>7</v>
      </c>
      <c r="U84" s="18" t="s">
        <v>16</v>
      </c>
      <c r="V84" s="18" t="s">
        <v>7</v>
      </c>
      <c r="W84" s="18" t="s">
        <v>7</v>
      </c>
      <c r="X84" s="18" t="s">
        <v>7</v>
      </c>
      <c r="Y84" s="18" t="s">
        <v>7</v>
      </c>
      <c r="Z84" s="18" t="s">
        <v>7</v>
      </c>
      <c r="AA84" s="18" t="s">
        <v>7</v>
      </c>
      <c r="AB84" s="18" t="s">
        <v>7</v>
      </c>
      <c r="AC84" s="18" t="s">
        <v>7</v>
      </c>
      <c r="AD84" s="18" t="s">
        <v>7</v>
      </c>
      <c r="AE84" s="18" t="s">
        <v>7</v>
      </c>
      <c r="AF84" s="18" t="s">
        <v>7</v>
      </c>
      <c r="AG84" s="18" t="s">
        <v>7</v>
      </c>
      <c r="AH84" s="18" t="s">
        <v>7</v>
      </c>
      <c r="AI84" s="83" t="s">
        <v>7</v>
      </c>
      <c r="AJ84" s="18" t="s">
        <v>7</v>
      </c>
      <c r="AK84" s="18" t="s">
        <v>7</v>
      </c>
      <c r="AL84" s="18" t="s">
        <v>7</v>
      </c>
      <c r="AM84" s="18" t="s">
        <v>7</v>
      </c>
      <c r="AN84" s="18" t="s">
        <v>7</v>
      </c>
      <c r="AO84" s="18" t="s">
        <v>7</v>
      </c>
      <c r="AP84" s="18" t="s">
        <v>7</v>
      </c>
      <c r="AQ84" s="18" t="s">
        <v>7</v>
      </c>
      <c r="AR84" s="18" t="s">
        <v>7</v>
      </c>
      <c r="AS84" s="18" t="s">
        <v>7</v>
      </c>
      <c r="AT84" s="24" t="s">
        <v>7</v>
      </c>
    </row>
    <row r="85" spans="1:46" ht="12.75" hidden="1" customHeight="1" x14ac:dyDescent="0.3">
      <c r="A85" s="134"/>
      <c r="B85" s="102"/>
      <c r="C85" s="102"/>
      <c r="D85" s="106"/>
      <c r="E85" s="106"/>
      <c r="F85" s="106"/>
      <c r="G85" s="156"/>
      <c r="H85" s="156"/>
      <c r="I85" s="108"/>
      <c r="J85" s="23">
        <v>2</v>
      </c>
      <c r="K85" s="18">
        <v>3</v>
      </c>
      <c r="L85" s="18">
        <v>2</v>
      </c>
      <c r="M85" s="18">
        <v>2</v>
      </c>
      <c r="N85" s="18">
        <v>2</v>
      </c>
      <c r="O85" s="18">
        <v>3</v>
      </c>
      <c r="P85" s="18">
        <v>2</v>
      </c>
      <c r="Q85" s="18">
        <v>4</v>
      </c>
      <c r="R85" s="18">
        <v>2</v>
      </c>
      <c r="S85" s="18">
        <v>3</v>
      </c>
      <c r="T85" s="18">
        <v>2</v>
      </c>
      <c r="U85" s="18">
        <v>2</v>
      </c>
      <c r="V85" s="18">
        <v>2</v>
      </c>
      <c r="W85" s="18">
        <v>2</v>
      </c>
      <c r="X85" s="18">
        <v>1</v>
      </c>
      <c r="Y85" s="18">
        <v>2</v>
      </c>
      <c r="Z85" s="18">
        <v>3</v>
      </c>
      <c r="AA85" s="18">
        <v>2</v>
      </c>
      <c r="AB85" s="18">
        <v>3</v>
      </c>
      <c r="AC85" s="18">
        <v>1</v>
      </c>
      <c r="AD85" s="18">
        <v>3</v>
      </c>
      <c r="AE85" s="18">
        <v>3</v>
      </c>
      <c r="AF85" s="18">
        <v>3</v>
      </c>
      <c r="AG85" s="18">
        <v>2</v>
      </c>
      <c r="AH85" s="18">
        <v>2</v>
      </c>
      <c r="AI85" s="83">
        <v>2</v>
      </c>
      <c r="AJ85" s="18">
        <v>3</v>
      </c>
      <c r="AK85" s="18">
        <v>3</v>
      </c>
      <c r="AL85" s="18">
        <v>2</v>
      </c>
      <c r="AM85" s="18">
        <v>2</v>
      </c>
      <c r="AN85" s="18">
        <v>4</v>
      </c>
      <c r="AO85" s="18">
        <v>3</v>
      </c>
      <c r="AP85" s="18">
        <v>3</v>
      </c>
      <c r="AQ85" s="18">
        <v>3</v>
      </c>
      <c r="AR85" s="18">
        <v>2</v>
      </c>
      <c r="AS85" s="18">
        <v>3</v>
      </c>
      <c r="AT85" s="24">
        <v>3</v>
      </c>
    </row>
    <row r="86" spans="1:46" ht="12.75" hidden="1" customHeight="1" x14ac:dyDescent="0.3">
      <c r="A86" s="134"/>
      <c r="B86" s="101">
        <v>46194</v>
      </c>
      <c r="C86" s="142">
        <v>0.79166666666666663</v>
      </c>
      <c r="D86" s="136" t="s">
        <v>91</v>
      </c>
      <c r="E86" s="105" t="s">
        <v>57</v>
      </c>
      <c r="F86" s="105" t="s">
        <v>58</v>
      </c>
      <c r="G86" s="155">
        <v>1</v>
      </c>
      <c r="H86" s="155">
        <v>3</v>
      </c>
      <c r="I86" s="107" t="str">
        <f t="shared" ref="I86" si="19">IF(G86="","-",IF(G86&gt;H86,"L",IF(G86=H86,"E",IF(G86&lt;H86,"V"))))</f>
        <v>V</v>
      </c>
      <c r="J86" s="26" t="s">
        <v>15</v>
      </c>
      <c r="K86" s="13" t="s">
        <v>15</v>
      </c>
      <c r="L86" s="13" t="s">
        <v>16</v>
      </c>
      <c r="M86" s="13" t="s">
        <v>7</v>
      </c>
      <c r="N86" s="13" t="s">
        <v>15</v>
      </c>
      <c r="O86" s="13" t="s">
        <v>15</v>
      </c>
      <c r="P86" s="13" t="s">
        <v>15</v>
      </c>
      <c r="Q86" s="13" t="s">
        <v>15</v>
      </c>
      <c r="R86" s="13" t="s">
        <v>15</v>
      </c>
      <c r="S86" s="13" t="s">
        <v>15</v>
      </c>
      <c r="T86" s="13" t="s">
        <v>15</v>
      </c>
      <c r="U86" s="13" t="s">
        <v>15</v>
      </c>
      <c r="V86" s="13" t="s">
        <v>15</v>
      </c>
      <c r="W86" s="13" t="s">
        <v>15</v>
      </c>
      <c r="X86" s="13" t="s">
        <v>15</v>
      </c>
      <c r="Y86" s="13" t="s">
        <v>15</v>
      </c>
      <c r="Z86" s="13" t="s">
        <v>15</v>
      </c>
      <c r="AA86" s="13" t="s">
        <v>15</v>
      </c>
      <c r="AB86" s="13" t="s">
        <v>16</v>
      </c>
      <c r="AC86" s="13" t="s">
        <v>15</v>
      </c>
      <c r="AD86" s="13" t="s">
        <v>15</v>
      </c>
      <c r="AE86" s="13" t="s">
        <v>16</v>
      </c>
      <c r="AF86" s="13" t="s">
        <v>15</v>
      </c>
      <c r="AG86" s="13" t="s">
        <v>15</v>
      </c>
      <c r="AH86" s="13" t="s">
        <v>15</v>
      </c>
      <c r="AI86" s="85" t="s">
        <v>16</v>
      </c>
      <c r="AJ86" s="13" t="s">
        <v>15</v>
      </c>
      <c r="AK86" s="13" t="s">
        <v>15</v>
      </c>
      <c r="AL86" s="13" t="s">
        <v>15</v>
      </c>
      <c r="AM86" s="13" t="s">
        <v>15</v>
      </c>
      <c r="AN86" s="13" t="s">
        <v>16</v>
      </c>
      <c r="AO86" s="13" t="s">
        <v>15</v>
      </c>
      <c r="AP86" s="13" t="s">
        <v>15</v>
      </c>
      <c r="AQ86" s="13" t="s">
        <v>15</v>
      </c>
      <c r="AR86" s="13" t="s">
        <v>15</v>
      </c>
      <c r="AS86" s="13" t="s">
        <v>16</v>
      </c>
      <c r="AT86" s="25" t="s">
        <v>16</v>
      </c>
    </row>
    <row r="87" spans="1:46" ht="12.75" hidden="1" customHeight="1" x14ac:dyDescent="0.3">
      <c r="A87" s="134"/>
      <c r="B87" s="102"/>
      <c r="C87" s="102"/>
      <c r="D87" s="106"/>
      <c r="E87" s="106"/>
      <c r="F87" s="106"/>
      <c r="G87" s="156"/>
      <c r="H87" s="156"/>
      <c r="I87" s="108"/>
      <c r="J87" s="26">
        <v>2</v>
      </c>
      <c r="K87" s="13">
        <v>1</v>
      </c>
      <c r="L87" s="13">
        <v>2</v>
      </c>
      <c r="M87" s="13">
        <v>3</v>
      </c>
      <c r="N87" s="13">
        <v>3</v>
      </c>
      <c r="O87" s="13">
        <v>3</v>
      </c>
      <c r="P87" s="13">
        <v>3</v>
      </c>
      <c r="Q87" s="13">
        <v>1</v>
      </c>
      <c r="R87" s="13">
        <v>3</v>
      </c>
      <c r="S87" s="13">
        <v>2</v>
      </c>
      <c r="T87" s="13">
        <v>2</v>
      </c>
      <c r="U87" s="13">
        <v>1</v>
      </c>
      <c r="V87" s="13">
        <v>2</v>
      </c>
      <c r="W87" s="13">
        <v>2</v>
      </c>
      <c r="X87" s="13">
        <v>1</v>
      </c>
      <c r="Y87" s="13">
        <v>2</v>
      </c>
      <c r="Z87" s="13">
        <v>2</v>
      </c>
      <c r="AA87" s="13">
        <v>1</v>
      </c>
      <c r="AB87" s="13">
        <v>2</v>
      </c>
      <c r="AC87" s="13">
        <v>1</v>
      </c>
      <c r="AD87" s="13">
        <v>3</v>
      </c>
      <c r="AE87" s="13">
        <v>2</v>
      </c>
      <c r="AF87" s="13">
        <v>2</v>
      </c>
      <c r="AG87" s="13">
        <v>1</v>
      </c>
      <c r="AH87" s="13">
        <v>1</v>
      </c>
      <c r="AI87" s="85">
        <v>2</v>
      </c>
      <c r="AJ87" s="13">
        <v>2</v>
      </c>
      <c r="AK87" s="13">
        <v>3</v>
      </c>
      <c r="AL87" s="13">
        <v>1</v>
      </c>
      <c r="AM87" s="13">
        <v>2</v>
      </c>
      <c r="AN87" s="13">
        <v>1</v>
      </c>
      <c r="AO87" s="13">
        <v>1</v>
      </c>
      <c r="AP87" s="13">
        <v>1</v>
      </c>
      <c r="AQ87" s="13">
        <v>2</v>
      </c>
      <c r="AR87" s="13">
        <v>1</v>
      </c>
      <c r="AS87" s="13">
        <v>2</v>
      </c>
      <c r="AT87" s="25">
        <v>2</v>
      </c>
    </row>
    <row r="88" spans="1:46" ht="12.75" customHeight="1" x14ac:dyDescent="0.3">
      <c r="A88" s="134"/>
      <c r="B88" s="101">
        <v>46199</v>
      </c>
      <c r="C88" s="142">
        <v>0.875</v>
      </c>
      <c r="D88" s="136" t="s">
        <v>91</v>
      </c>
      <c r="E88" s="105" t="s">
        <v>57</v>
      </c>
      <c r="F88" s="105" t="s">
        <v>29</v>
      </c>
      <c r="G88" s="155">
        <v>1</v>
      </c>
      <c r="H88" s="155">
        <v>5</v>
      </c>
      <c r="I88" s="107" t="str">
        <f t="shared" ref="I88" si="20">IF(G88="","-",IF(G88&gt;H88,"L",IF(G88=H88,"E",IF(G88&lt;H88,"V"))))</f>
        <v>V</v>
      </c>
      <c r="J88" s="23" t="s">
        <v>15</v>
      </c>
      <c r="K88" s="18" t="s">
        <v>15</v>
      </c>
      <c r="L88" s="18" t="s">
        <v>15</v>
      </c>
      <c r="M88" s="18" t="s">
        <v>15</v>
      </c>
      <c r="N88" s="18" t="s">
        <v>15</v>
      </c>
      <c r="O88" s="18" t="s">
        <v>15</v>
      </c>
      <c r="P88" s="18" t="s">
        <v>15</v>
      </c>
      <c r="Q88" s="18" t="s">
        <v>15</v>
      </c>
      <c r="R88" s="18" t="s">
        <v>15</v>
      </c>
      <c r="S88" s="18" t="s">
        <v>15</v>
      </c>
      <c r="T88" s="18" t="s">
        <v>15</v>
      </c>
      <c r="U88" s="18" t="s">
        <v>7</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16</v>
      </c>
      <c r="AI88" s="83"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34"/>
      <c r="B89" s="102"/>
      <c r="C89" s="102"/>
      <c r="D89" s="106"/>
      <c r="E89" s="106"/>
      <c r="F89" s="106"/>
      <c r="G89" s="156"/>
      <c r="H89" s="156"/>
      <c r="I89" s="108"/>
      <c r="J89" s="23">
        <v>3</v>
      </c>
      <c r="K89" s="18">
        <v>3</v>
      </c>
      <c r="L89" s="18">
        <v>2</v>
      </c>
      <c r="M89" s="18">
        <v>3</v>
      </c>
      <c r="N89" s="18">
        <v>2</v>
      </c>
      <c r="O89" s="18">
        <v>3</v>
      </c>
      <c r="P89" s="18">
        <v>2</v>
      </c>
      <c r="Q89" s="18">
        <v>4</v>
      </c>
      <c r="R89" s="18">
        <v>3</v>
      </c>
      <c r="S89" s="18">
        <v>3</v>
      </c>
      <c r="T89" s="18">
        <v>3</v>
      </c>
      <c r="U89" s="18">
        <v>3</v>
      </c>
      <c r="V89" s="18">
        <v>2</v>
      </c>
      <c r="W89" s="18">
        <v>3</v>
      </c>
      <c r="X89" s="18">
        <v>3</v>
      </c>
      <c r="Y89" s="18">
        <v>3</v>
      </c>
      <c r="Z89" s="18">
        <v>3</v>
      </c>
      <c r="AA89" s="18">
        <v>3</v>
      </c>
      <c r="AB89" s="18">
        <v>3</v>
      </c>
      <c r="AC89" s="18">
        <v>3</v>
      </c>
      <c r="AD89" s="18">
        <v>2</v>
      </c>
      <c r="AE89" s="18">
        <v>3</v>
      </c>
      <c r="AF89" s="18">
        <v>4</v>
      </c>
      <c r="AG89" s="18">
        <v>2</v>
      </c>
      <c r="AH89" s="18">
        <v>2</v>
      </c>
      <c r="AI89" s="83">
        <v>3</v>
      </c>
      <c r="AJ89" s="18">
        <v>3</v>
      </c>
      <c r="AK89" s="18">
        <v>4</v>
      </c>
      <c r="AL89" s="18">
        <v>3</v>
      </c>
      <c r="AM89" s="18">
        <v>4</v>
      </c>
      <c r="AN89" s="18">
        <v>3</v>
      </c>
      <c r="AO89" s="18">
        <v>3</v>
      </c>
      <c r="AP89" s="18">
        <v>4</v>
      </c>
      <c r="AQ89" s="18">
        <v>3</v>
      </c>
      <c r="AR89" s="18">
        <v>1</v>
      </c>
      <c r="AS89" s="18">
        <v>3</v>
      </c>
      <c r="AT89" s="24">
        <v>4</v>
      </c>
    </row>
    <row r="90" spans="1:46" ht="12.75" customHeight="1" x14ac:dyDescent="0.3">
      <c r="A90" s="134"/>
      <c r="B90" s="101">
        <v>46199</v>
      </c>
      <c r="C90" s="142">
        <v>0.875</v>
      </c>
      <c r="D90" s="136" t="s">
        <v>85</v>
      </c>
      <c r="E90" s="105" t="s">
        <v>58</v>
      </c>
      <c r="F90" s="105" t="s">
        <v>56</v>
      </c>
      <c r="G90" s="155">
        <v>1</v>
      </c>
      <c r="H90" s="155">
        <v>1</v>
      </c>
      <c r="I90" s="107" t="str">
        <f t="shared" ref="I90" si="21">IF(G90="","-",IF(G90&gt;H90,"L",IF(G90=H90,"E",IF(G90&lt;H90,"V"))))</f>
        <v>E</v>
      </c>
      <c r="J90" s="26" t="s">
        <v>7</v>
      </c>
      <c r="K90" s="13" t="s">
        <v>16</v>
      </c>
      <c r="L90" s="13" t="s">
        <v>16</v>
      </c>
      <c r="M90" s="13" t="s">
        <v>16</v>
      </c>
      <c r="N90" s="13" t="s">
        <v>16</v>
      </c>
      <c r="O90" s="13" t="s">
        <v>7</v>
      </c>
      <c r="P90" s="13" t="s">
        <v>7</v>
      </c>
      <c r="Q90" s="13" t="s">
        <v>16</v>
      </c>
      <c r="R90" s="13" t="s">
        <v>7</v>
      </c>
      <c r="S90" s="13" t="s">
        <v>7</v>
      </c>
      <c r="T90" s="13" t="s">
        <v>16</v>
      </c>
      <c r="U90" s="13" t="s">
        <v>7</v>
      </c>
      <c r="V90" s="13" t="s">
        <v>7</v>
      </c>
      <c r="W90" s="13" t="s">
        <v>16</v>
      </c>
      <c r="X90" s="13" t="s">
        <v>16</v>
      </c>
      <c r="Y90" s="13" t="s">
        <v>16</v>
      </c>
      <c r="Z90" s="13" t="s">
        <v>7</v>
      </c>
      <c r="AA90" s="13" t="s">
        <v>16</v>
      </c>
      <c r="AB90" s="13" t="s">
        <v>16</v>
      </c>
      <c r="AC90" s="13" t="s">
        <v>16</v>
      </c>
      <c r="AD90" s="13" t="s">
        <v>7</v>
      </c>
      <c r="AE90" s="13" t="s">
        <v>7</v>
      </c>
      <c r="AF90" s="13" t="s">
        <v>16</v>
      </c>
      <c r="AG90" s="13" t="s">
        <v>16</v>
      </c>
      <c r="AH90" s="13" t="s">
        <v>16</v>
      </c>
      <c r="AI90" s="85" t="s">
        <v>16</v>
      </c>
      <c r="AJ90" s="13" t="s">
        <v>16</v>
      </c>
      <c r="AK90" s="13" t="s">
        <v>7</v>
      </c>
      <c r="AL90" s="13" t="s">
        <v>16</v>
      </c>
      <c r="AM90" s="13" t="s">
        <v>16</v>
      </c>
      <c r="AN90" s="13" t="s">
        <v>7</v>
      </c>
      <c r="AO90" s="13" t="s">
        <v>7</v>
      </c>
      <c r="AP90" s="13" t="s">
        <v>16</v>
      </c>
      <c r="AQ90" s="13" t="s">
        <v>16</v>
      </c>
      <c r="AR90" s="13" t="s">
        <v>7</v>
      </c>
      <c r="AS90" s="13" t="s">
        <v>15</v>
      </c>
      <c r="AT90" s="25" t="s">
        <v>15</v>
      </c>
    </row>
    <row r="91" spans="1:46" ht="12.75" customHeight="1" x14ac:dyDescent="0.3">
      <c r="A91" s="135"/>
      <c r="B91" s="102"/>
      <c r="C91" s="102"/>
      <c r="D91" s="106"/>
      <c r="E91" s="106"/>
      <c r="F91" s="106"/>
      <c r="G91" s="156"/>
      <c r="H91" s="156"/>
      <c r="I91" s="108"/>
      <c r="J91" s="26">
        <v>3</v>
      </c>
      <c r="K91" s="13">
        <v>2</v>
      </c>
      <c r="L91" s="13">
        <v>2</v>
      </c>
      <c r="M91" s="13">
        <v>0</v>
      </c>
      <c r="N91" s="13">
        <v>2</v>
      </c>
      <c r="O91" s="13">
        <v>2</v>
      </c>
      <c r="P91" s="13">
        <v>2</v>
      </c>
      <c r="Q91" s="13">
        <v>0</v>
      </c>
      <c r="R91" s="13">
        <v>2</v>
      </c>
      <c r="S91" s="13">
        <v>3</v>
      </c>
      <c r="T91" s="13">
        <v>2</v>
      </c>
      <c r="U91" s="13">
        <v>2</v>
      </c>
      <c r="V91" s="13">
        <v>2</v>
      </c>
      <c r="W91" s="13">
        <v>2</v>
      </c>
      <c r="X91" s="13">
        <v>0</v>
      </c>
      <c r="Y91" s="13">
        <v>1</v>
      </c>
      <c r="Z91" s="13">
        <v>2</v>
      </c>
      <c r="AA91" s="13">
        <v>2</v>
      </c>
      <c r="AB91" s="13">
        <v>2</v>
      </c>
      <c r="AC91" s="13">
        <v>2</v>
      </c>
      <c r="AD91" s="13">
        <v>3</v>
      </c>
      <c r="AE91" s="13">
        <v>3</v>
      </c>
      <c r="AF91" s="13">
        <v>2</v>
      </c>
      <c r="AG91" s="13">
        <v>0</v>
      </c>
      <c r="AH91" s="13">
        <v>0</v>
      </c>
      <c r="AI91" s="85">
        <v>2</v>
      </c>
      <c r="AJ91" s="13">
        <v>2</v>
      </c>
      <c r="AK91" s="13">
        <v>4</v>
      </c>
      <c r="AL91" s="13">
        <v>0</v>
      </c>
      <c r="AM91" s="13">
        <v>4</v>
      </c>
      <c r="AN91" s="13">
        <v>2</v>
      </c>
      <c r="AO91" s="13">
        <v>2</v>
      </c>
      <c r="AP91" s="13">
        <v>4</v>
      </c>
      <c r="AQ91" s="13">
        <v>0</v>
      </c>
      <c r="AR91" s="13">
        <v>1</v>
      </c>
      <c r="AS91" s="13">
        <v>3</v>
      </c>
      <c r="AT91" s="25">
        <v>2</v>
      </c>
    </row>
    <row r="92" spans="1:46" ht="12.75" hidden="1" customHeight="1" x14ac:dyDescent="0.3">
      <c r="A92" s="157" t="s">
        <v>48</v>
      </c>
      <c r="B92" s="117">
        <v>46188</v>
      </c>
      <c r="C92" s="143">
        <v>0.41666666666666669</v>
      </c>
      <c r="D92" s="137" t="s">
        <v>89</v>
      </c>
      <c r="E92" s="122" t="s">
        <v>18</v>
      </c>
      <c r="F92" s="122" t="s">
        <v>61</v>
      </c>
      <c r="G92" s="153">
        <v>0</v>
      </c>
      <c r="H92" s="153">
        <v>0</v>
      </c>
      <c r="I92" s="115" t="str">
        <f t="shared" ref="I92" si="22">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87" t="s">
        <v>7</v>
      </c>
      <c r="AJ92" s="19" t="s">
        <v>7</v>
      </c>
      <c r="AK92" s="19" t="s">
        <v>7</v>
      </c>
      <c r="AL92" s="19" t="s">
        <v>7</v>
      </c>
      <c r="AM92" s="19" t="s">
        <v>7</v>
      </c>
      <c r="AN92" s="19" t="s">
        <v>7</v>
      </c>
      <c r="AO92" s="19" t="s">
        <v>7</v>
      </c>
      <c r="AP92" s="19" t="s">
        <v>7</v>
      </c>
      <c r="AQ92" s="19" t="s">
        <v>7</v>
      </c>
      <c r="AR92" s="19" t="s">
        <v>7</v>
      </c>
      <c r="AS92" s="19" t="s">
        <v>7</v>
      </c>
      <c r="AT92" s="28" t="s">
        <v>7</v>
      </c>
    </row>
    <row r="93" spans="1:46" ht="12.75" hidden="1" customHeight="1" x14ac:dyDescent="0.3">
      <c r="A93" s="158"/>
      <c r="B93" s="118"/>
      <c r="C93" s="118"/>
      <c r="D93" s="123"/>
      <c r="E93" s="123"/>
      <c r="F93" s="123"/>
      <c r="G93" s="154"/>
      <c r="H93" s="154"/>
      <c r="I93" s="116"/>
      <c r="J93" s="27">
        <v>3</v>
      </c>
      <c r="K93" s="19">
        <v>4</v>
      </c>
      <c r="L93" s="19">
        <v>3</v>
      </c>
      <c r="M93" s="19">
        <v>3</v>
      </c>
      <c r="N93" s="19">
        <v>4</v>
      </c>
      <c r="O93" s="19">
        <v>3</v>
      </c>
      <c r="P93" s="19">
        <v>4</v>
      </c>
      <c r="Q93" s="19">
        <v>4</v>
      </c>
      <c r="R93" s="19">
        <v>4</v>
      </c>
      <c r="S93" s="19">
        <v>4</v>
      </c>
      <c r="T93" s="19">
        <v>3</v>
      </c>
      <c r="U93" s="19">
        <v>3</v>
      </c>
      <c r="V93" s="19">
        <v>4</v>
      </c>
      <c r="W93" s="19">
        <v>3</v>
      </c>
      <c r="X93" s="19">
        <v>4</v>
      </c>
      <c r="Y93" s="19">
        <v>3</v>
      </c>
      <c r="Z93" s="19">
        <v>4</v>
      </c>
      <c r="AA93" s="19">
        <v>3</v>
      </c>
      <c r="AB93" s="19">
        <v>3</v>
      </c>
      <c r="AC93" s="19">
        <v>4</v>
      </c>
      <c r="AD93" s="19">
        <v>4</v>
      </c>
      <c r="AE93" s="19">
        <v>4</v>
      </c>
      <c r="AF93" s="19">
        <v>3</v>
      </c>
      <c r="AG93" s="19">
        <v>3</v>
      </c>
      <c r="AH93" s="19">
        <v>4</v>
      </c>
      <c r="AI93" s="87">
        <v>3</v>
      </c>
      <c r="AJ93" s="19">
        <v>3</v>
      </c>
      <c r="AK93" s="19">
        <v>4</v>
      </c>
      <c r="AL93" s="19">
        <v>6</v>
      </c>
      <c r="AM93" s="19">
        <v>3</v>
      </c>
      <c r="AN93" s="19">
        <v>3</v>
      </c>
      <c r="AO93" s="19">
        <v>3</v>
      </c>
      <c r="AP93" s="19">
        <v>5</v>
      </c>
      <c r="AQ93" s="19">
        <v>4</v>
      </c>
      <c r="AR93" s="19">
        <v>4</v>
      </c>
      <c r="AS93" s="19">
        <v>5</v>
      </c>
      <c r="AT93" s="28">
        <v>5</v>
      </c>
    </row>
    <row r="94" spans="1:46" ht="12.75" hidden="1" customHeight="1" x14ac:dyDescent="0.3">
      <c r="A94" s="158"/>
      <c r="B94" s="117">
        <v>46188</v>
      </c>
      <c r="C94" s="143">
        <v>0.66666666666666663</v>
      </c>
      <c r="D94" s="137" t="s">
        <v>90</v>
      </c>
      <c r="E94" s="122" t="s">
        <v>59</v>
      </c>
      <c r="F94" s="122" t="s">
        <v>60</v>
      </c>
      <c r="G94" s="153">
        <v>1</v>
      </c>
      <c r="H94" s="153">
        <v>1</v>
      </c>
      <c r="I94" s="115" t="str">
        <f t="shared" ref="I94" si="23">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85" t="s">
        <v>15</v>
      </c>
      <c r="AJ94" s="13" t="s">
        <v>15</v>
      </c>
      <c r="AK94" s="13" t="s">
        <v>15</v>
      </c>
      <c r="AL94" s="13" t="s">
        <v>15</v>
      </c>
      <c r="AM94" s="13" t="s">
        <v>15</v>
      </c>
      <c r="AN94" s="13" t="s">
        <v>15</v>
      </c>
      <c r="AO94" s="13" t="s">
        <v>15</v>
      </c>
      <c r="AP94" s="13" t="s">
        <v>7</v>
      </c>
      <c r="AQ94" s="13" t="s">
        <v>16</v>
      </c>
      <c r="AR94" s="13" t="s">
        <v>15</v>
      </c>
      <c r="AS94" s="13" t="s">
        <v>15</v>
      </c>
      <c r="AT94" s="25" t="s">
        <v>15</v>
      </c>
    </row>
    <row r="95" spans="1:46" ht="12.75" hidden="1" customHeight="1" x14ac:dyDescent="0.3">
      <c r="A95" s="158"/>
      <c r="B95" s="118"/>
      <c r="C95" s="118"/>
      <c r="D95" s="123"/>
      <c r="E95" s="123"/>
      <c r="F95" s="123"/>
      <c r="G95" s="154"/>
      <c r="H95" s="154"/>
      <c r="I95" s="116"/>
      <c r="J95" s="26">
        <v>2</v>
      </c>
      <c r="K95" s="13">
        <v>2</v>
      </c>
      <c r="L95" s="13">
        <v>3</v>
      </c>
      <c r="M95" s="13">
        <v>2</v>
      </c>
      <c r="N95" s="13">
        <v>3</v>
      </c>
      <c r="O95" s="13">
        <v>2</v>
      </c>
      <c r="P95" s="13">
        <v>2</v>
      </c>
      <c r="Q95" s="13">
        <v>3</v>
      </c>
      <c r="R95" s="13">
        <v>2</v>
      </c>
      <c r="S95" s="13">
        <v>2</v>
      </c>
      <c r="T95" s="13">
        <v>3</v>
      </c>
      <c r="U95" s="13">
        <v>3</v>
      </c>
      <c r="V95" s="13">
        <v>3</v>
      </c>
      <c r="W95" s="13">
        <v>2</v>
      </c>
      <c r="X95" s="13">
        <v>2</v>
      </c>
      <c r="Y95" s="13">
        <v>2</v>
      </c>
      <c r="Z95" s="13">
        <v>3</v>
      </c>
      <c r="AA95" s="13">
        <v>2</v>
      </c>
      <c r="AB95" s="13">
        <v>3</v>
      </c>
      <c r="AC95" s="13">
        <v>2</v>
      </c>
      <c r="AD95" s="13">
        <v>3</v>
      </c>
      <c r="AE95" s="13">
        <v>3</v>
      </c>
      <c r="AF95" s="13">
        <v>3</v>
      </c>
      <c r="AG95" s="13">
        <v>2</v>
      </c>
      <c r="AH95" s="13">
        <v>2</v>
      </c>
      <c r="AI95" s="85">
        <v>2</v>
      </c>
      <c r="AJ95" s="13">
        <v>2</v>
      </c>
      <c r="AK95" s="13">
        <v>2</v>
      </c>
      <c r="AL95" s="13">
        <v>4</v>
      </c>
      <c r="AM95" s="13">
        <v>5</v>
      </c>
      <c r="AN95" s="13">
        <v>2</v>
      </c>
      <c r="AO95" s="13">
        <v>3</v>
      </c>
      <c r="AP95" s="13">
        <v>3</v>
      </c>
      <c r="AQ95" s="13">
        <v>1</v>
      </c>
      <c r="AR95" s="13">
        <v>3</v>
      </c>
      <c r="AS95" s="13">
        <v>3</v>
      </c>
      <c r="AT95" s="25">
        <v>3</v>
      </c>
    </row>
    <row r="96" spans="1:46" ht="12.75" hidden="1" customHeight="1" x14ac:dyDescent="0.3">
      <c r="A96" s="158"/>
      <c r="B96" s="117">
        <v>46194</v>
      </c>
      <c r="C96" s="143">
        <v>0.41666666666666669</v>
      </c>
      <c r="D96" s="137" t="s">
        <v>89</v>
      </c>
      <c r="E96" s="122" t="s">
        <v>18</v>
      </c>
      <c r="F96" s="122" t="s">
        <v>59</v>
      </c>
      <c r="G96" s="153">
        <v>4</v>
      </c>
      <c r="H96" s="153">
        <v>0</v>
      </c>
      <c r="I96" s="115" t="str">
        <f t="shared" ref="I96" si="24">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87" t="s">
        <v>7</v>
      </c>
      <c r="AJ96" s="19" t="s">
        <v>7</v>
      </c>
      <c r="AK96" s="19" t="s">
        <v>7</v>
      </c>
      <c r="AL96" s="19" t="s">
        <v>7</v>
      </c>
      <c r="AM96" s="19" t="s">
        <v>7</v>
      </c>
      <c r="AN96" s="19" t="s">
        <v>7</v>
      </c>
      <c r="AO96" s="19" t="s">
        <v>7</v>
      </c>
      <c r="AP96" s="19" t="s">
        <v>7</v>
      </c>
      <c r="AQ96" s="19" t="s">
        <v>7</v>
      </c>
      <c r="AR96" s="19" t="s">
        <v>7</v>
      </c>
      <c r="AS96" s="19" t="s">
        <v>7</v>
      </c>
      <c r="AT96" s="28" t="s">
        <v>7</v>
      </c>
    </row>
    <row r="97" spans="1:46" ht="12.75" hidden="1" customHeight="1" x14ac:dyDescent="0.3">
      <c r="A97" s="158"/>
      <c r="B97" s="118"/>
      <c r="C97" s="118"/>
      <c r="D97" s="123"/>
      <c r="E97" s="123"/>
      <c r="F97" s="123"/>
      <c r="G97" s="154"/>
      <c r="H97" s="154"/>
      <c r="I97" s="116"/>
      <c r="J97" s="27">
        <v>2</v>
      </c>
      <c r="K97" s="19">
        <v>4</v>
      </c>
      <c r="L97" s="19">
        <v>4</v>
      </c>
      <c r="M97" s="19">
        <v>3</v>
      </c>
      <c r="N97" s="19">
        <v>2</v>
      </c>
      <c r="O97" s="19">
        <v>3</v>
      </c>
      <c r="P97" s="19">
        <v>3</v>
      </c>
      <c r="Q97" s="19">
        <v>4</v>
      </c>
      <c r="R97" s="19">
        <v>4</v>
      </c>
      <c r="S97" s="19">
        <v>4</v>
      </c>
      <c r="T97" s="19">
        <v>3</v>
      </c>
      <c r="U97" s="19">
        <v>4</v>
      </c>
      <c r="V97" s="19">
        <v>3</v>
      </c>
      <c r="W97" s="19">
        <v>3</v>
      </c>
      <c r="X97" s="19">
        <v>4</v>
      </c>
      <c r="Y97" s="19">
        <v>3</v>
      </c>
      <c r="Z97" s="19">
        <v>3</v>
      </c>
      <c r="AA97" s="19">
        <v>3</v>
      </c>
      <c r="AB97" s="19">
        <v>3</v>
      </c>
      <c r="AC97" s="19">
        <v>4</v>
      </c>
      <c r="AD97" s="19">
        <v>3</v>
      </c>
      <c r="AE97" s="19">
        <v>4</v>
      </c>
      <c r="AF97" s="19">
        <v>3</v>
      </c>
      <c r="AG97" s="19">
        <v>2</v>
      </c>
      <c r="AH97" s="19">
        <v>3</v>
      </c>
      <c r="AI97" s="87">
        <v>3</v>
      </c>
      <c r="AJ97" s="19">
        <v>4</v>
      </c>
      <c r="AK97" s="19">
        <v>3</v>
      </c>
      <c r="AL97" s="19">
        <v>5</v>
      </c>
      <c r="AM97" s="19">
        <v>2</v>
      </c>
      <c r="AN97" s="19">
        <v>4</v>
      </c>
      <c r="AO97" s="19">
        <v>3</v>
      </c>
      <c r="AP97" s="19">
        <v>3</v>
      </c>
      <c r="AQ97" s="19">
        <v>3</v>
      </c>
      <c r="AR97" s="19">
        <v>2</v>
      </c>
      <c r="AS97" s="19">
        <v>6</v>
      </c>
      <c r="AT97" s="28">
        <v>4</v>
      </c>
    </row>
    <row r="98" spans="1:46" ht="12.75" hidden="1" customHeight="1" x14ac:dyDescent="0.3">
      <c r="A98" s="158"/>
      <c r="B98" s="117">
        <v>46194</v>
      </c>
      <c r="C98" s="143">
        <v>0.66666666666666663</v>
      </c>
      <c r="D98" s="137" t="s">
        <v>90</v>
      </c>
      <c r="E98" s="122" t="s">
        <v>60</v>
      </c>
      <c r="F98" s="122" t="s">
        <v>61</v>
      </c>
      <c r="G98" s="153">
        <v>2</v>
      </c>
      <c r="H98" s="153">
        <v>2</v>
      </c>
      <c r="I98" s="115" t="str">
        <f t="shared" ref="I98" si="25">IF(G98="","-",IF(G98&gt;H98,"L",IF(G98=H98,"E",IF(G98&lt;H98,"V"))))</f>
        <v>E</v>
      </c>
      <c r="J98" s="26" t="s">
        <v>7</v>
      </c>
      <c r="K98" s="13" t="s">
        <v>7</v>
      </c>
      <c r="L98" s="13" t="s">
        <v>7</v>
      </c>
      <c r="M98" s="13" t="s">
        <v>7</v>
      </c>
      <c r="N98" s="13" t="s">
        <v>7</v>
      </c>
      <c r="O98" s="13" t="s">
        <v>7</v>
      </c>
      <c r="P98" s="13" t="s">
        <v>7</v>
      </c>
      <c r="Q98" s="13" t="s">
        <v>7</v>
      </c>
      <c r="R98" s="13" t="s">
        <v>16</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16</v>
      </c>
      <c r="AI98" s="85" t="s">
        <v>7</v>
      </c>
      <c r="AJ98" s="13" t="s">
        <v>7</v>
      </c>
      <c r="AK98" s="13" t="s">
        <v>7</v>
      </c>
      <c r="AL98" s="13" t="s">
        <v>7</v>
      </c>
      <c r="AM98" s="13" t="s">
        <v>7</v>
      </c>
      <c r="AN98" s="13" t="s">
        <v>7</v>
      </c>
      <c r="AO98" s="13" t="s">
        <v>7</v>
      </c>
      <c r="AP98" s="13" t="s">
        <v>7</v>
      </c>
      <c r="AQ98" s="13" t="s">
        <v>7</v>
      </c>
      <c r="AR98" s="13" t="s">
        <v>7</v>
      </c>
      <c r="AS98" s="13" t="s">
        <v>7</v>
      </c>
      <c r="AT98" s="25" t="s">
        <v>7</v>
      </c>
    </row>
    <row r="99" spans="1:46" ht="12.75" hidden="1" customHeight="1" x14ac:dyDescent="0.3">
      <c r="A99" s="158"/>
      <c r="B99" s="118"/>
      <c r="C99" s="118"/>
      <c r="D99" s="123"/>
      <c r="E99" s="123"/>
      <c r="F99" s="123"/>
      <c r="G99" s="154"/>
      <c r="H99" s="154"/>
      <c r="I99" s="116"/>
      <c r="J99" s="26">
        <v>3</v>
      </c>
      <c r="K99" s="13">
        <v>4</v>
      </c>
      <c r="L99" s="13">
        <v>2</v>
      </c>
      <c r="M99" s="13">
        <v>3</v>
      </c>
      <c r="N99" s="13">
        <v>4</v>
      </c>
      <c r="O99" s="13">
        <v>2</v>
      </c>
      <c r="P99" s="13">
        <v>3</v>
      </c>
      <c r="Q99" s="13">
        <v>4</v>
      </c>
      <c r="R99" s="13">
        <v>4</v>
      </c>
      <c r="S99" s="13">
        <v>3</v>
      </c>
      <c r="T99" s="13">
        <v>2</v>
      </c>
      <c r="U99" s="13">
        <v>5</v>
      </c>
      <c r="V99" s="13">
        <v>3</v>
      </c>
      <c r="W99" s="13">
        <v>2</v>
      </c>
      <c r="X99" s="13">
        <v>4</v>
      </c>
      <c r="Y99" s="13">
        <v>3</v>
      </c>
      <c r="Z99" s="13">
        <v>2</v>
      </c>
      <c r="AA99" s="13">
        <v>2</v>
      </c>
      <c r="AB99" s="13">
        <v>3</v>
      </c>
      <c r="AC99" s="13">
        <v>4</v>
      </c>
      <c r="AD99" s="13">
        <v>2</v>
      </c>
      <c r="AE99" s="13">
        <v>3</v>
      </c>
      <c r="AF99" s="13">
        <v>2</v>
      </c>
      <c r="AG99" s="13">
        <v>2</v>
      </c>
      <c r="AH99" s="13">
        <v>2</v>
      </c>
      <c r="AI99" s="85">
        <v>2</v>
      </c>
      <c r="AJ99" s="13">
        <v>2</v>
      </c>
      <c r="AK99" s="13">
        <v>3</v>
      </c>
      <c r="AL99" s="13">
        <v>4</v>
      </c>
      <c r="AM99" s="13">
        <v>3</v>
      </c>
      <c r="AN99" s="13">
        <v>3</v>
      </c>
      <c r="AO99" s="13">
        <v>3</v>
      </c>
      <c r="AP99" s="13">
        <v>3</v>
      </c>
      <c r="AQ99" s="13">
        <v>2</v>
      </c>
      <c r="AR99" s="13">
        <v>3</v>
      </c>
      <c r="AS99" s="13">
        <v>3</v>
      </c>
      <c r="AT99" s="25">
        <v>6</v>
      </c>
    </row>
    <row r="100" spans="1:46" ht="12.75" customHeight="1" x14ac:dyDescent="0.3">
      <c r="A100" s="158"/>
      <c r="B100" s="117">
        <v>46199</v>
      </c>
      <c r="C100" s="143">
        <v>0.75</v>
      </c>
      <c r="D100" s="137" t="s">
        <v>104</v>
      </c>
      <c r="E100" s="122" t="s">
        <v>60</v>
      </c>
      <c r="F100" s="122" t="s">
        <v>18</v>
      </c>
      <c r="G100" s="153">
        <v>0</v>
      </c>
      <c r="H100" s="153">
        <v>1</v>
      </c>
      <c r="I100" s="115" t="str">
        <f t="shared" ref="I100" si="26">IF(G100="","-",IF(G100&gt;H100,"L",IF(G100=H100,"E",IF(G100&lt;H100,"V"))))</f>
        <v>V</v>
      </c>
      <c r="J100" s="27" t="s">
        <v>16</v>
      </c>
      <c r="K100" s="19" t="s">
        <v>15</v>
      </c>
      <c r="L100" s="19" t="s">
        <v>15</v>
      </c>
      <c r="M100" s="19" t="s">
        <v>15</v>
      </c>
      <c r="N100" s="19" t="s">
        <v>15</v>
      </c>
      <c r="O100" s="19" t="s">
        <v>15</v>
      </c>
      <c r="P100" s="19" t="s">
        <v>15</v>
      </c>
      <c r="Q100" s="19" t="s">
        <v>15</v>
      </c>
      <c r="R100" s="19" t="s">
        <v>16</v>
      </c>
      <c r="S100" s="19" t="s">
        <v>16</v>
      </c>
      <c r="T100" s="19" t="s">
        <v>7</v>
      </c>
      <c r="U100" s="19" t="s">
        <v>15</v>
      </c>
      <c r="V100" s="19" t="s">
        <v>15</v>
      </c>
      <c r="W100" s="19" t="s">
        <v>16</v>
      </c>
      <c r="X100" s="19" t="s">
        <v>16</v>
      </c>
      <c r="Y100" s="19" t="s">
        <v>15</v>
      </c>
      <c r="Z100" s="19" t="s">
        <v>15</v>
      </c>
      <c r="AA100" s="19" t="s">
        <v>15</v>
      </c>
      <c r="AB100" s="19" t="s">
        <v>16</v>
      </c>
      <c r="AC100" s="19" t="s">
        <v>16</v>
      </c>
      <c r="AD100" s="19" t="s">
        <v>15</v>
      </c>
      <c r="AE100" s="19" t="s">
        <v>15</v>
      </c>
      <c r="AF100" s="19" t="s">
        <v>15</v>
      </c>
      <c r="AG100" s="19" t="s">
        <v>16</v>
      </c>
      <c r="AH100" s="19" t="s">
        <v>16</v>
      </c>
      <c r="AI100" s="87" t="s">
        <v>16</v>
      </c>
      <c r="AJ100" s="19" t="s">
        <v>15</v>
      </c>
      <c r="AK100" s="19" t="s">
        <v>15</v>
      </c>
      <c r="AL100" s="19" t="s">
        <v>16</v>
      </c>
      <c r="AM100" s="19" t="s">
        <v>15</v>
      </c>
      <c r="AN100" s="19" t="s">
        <v>16</v>
      </c>
      <c r="AO100" s="19" t="s">
        <v>15</v>
      </c>
      <c r="AP100" s="19" t="s">
        <v>15</v>
      </c>
      <c r="AQ100" s="19" t="s">
        <v>15</v>
      </c>
      <c r="AR100" s="19" t="s">
        <v>15</v>
      </c>
      <c r="AS100" s="19" t="s">
        <v>15</v>
      </c>
      <c r="AT100" s="28" t="s">
        <v>7</v>
      </c>
    </row>
    <row r="101" spans="1:46" ht="12.75" customHeight="1" x14ac:dyDescent="0.3">
      <c r="A101" s="158"/>
      <c r="B101" s="118"/>
      <c r="C101" s="118"/>
      <c r="D101" s="123"/>
      <c r="E101" s="123"/>
      <c r="F101" s="123"/>
      <c r="G101" s="154"/>
      <c r="H101" s="154"/>
      <c r="I101" s="116"/>
      <c r="J101" s="27">
        <v>2</v>
      </c>
      <c r="K101" s="19">
        <v>3</v>
      </c>
      <c r="L101" s="19">
        <v>3</v>
      </c>
      <c r="M101" s="19">
        <v>3</v>
      </c>
      <c r="N101" s="19">
        <v>3</v>
      </c>
      <c r="O101" s="19">
        <v>3</v>
      </c>
      <c r="P101" s="19">
        <v>2</v>
      </c>
      <c r="Q101" s="19">
        <v>3</v>
      </c>
      <c r="R101" s="19">
        <v>2</v>
      </c>
      <c r="S101" s="19">
        <v>2</v>
      </c>
      <c r="T101" s="19">
        <v>3</v>
      </c>
      <c r="U101" s="19">
        <v>3</v>
      </c>
      <c r="V101" s="19">
        <v>3</v>
      </c>
      <c r="W101" s="19">
        <v>2</v>
      </c>
      <c r="X101" s="19">
        <v>2</v>
      </c>
      <c r="Y101" s="19">
        <v>2</v>
      </c>
      <c r="Z101" s="19">
        <v>3</v>
      </c>
      <c r="AA101" s="19">
        <v>3</v>
      </c>
      <c r="AB101" s="19">
        <v>2</v>
      </c>
      <c r="AC101" s="19">
        <v>2</v>
      </c>
      <c r="AD101" s="19">
        <v>3</v>
      </c>
      <c r="AE101" s="19">
        <v>3</v>
      </c>
      <c r="AF101" s="19">
        <v>4</v>
      </c>
      <c r="AG101" s="19">
        <v>4</v>
      </c>
      <c r="AH101" s="19">
        <v>2</v>
      </c>
      <c r="AI101" s="87">
        <v>2</v>
      </c>
      <c r="AJ101" s="19">
        <v>3</v>
      </c>
      <c r="AK101" s="19">
        <v>3</v>
      </c>
      <c r="AL101" s="19">
        <v>4</v>
      </c>
      <c r="AM101" s="19">
        <v>3</v>
      </c>
      <c r="AN101" s="19">
        <v>4</v>
      </c>
      <c r="AO101" s="19">
        <v>2</v>
      </c>
      <c r="AP101" s="19">
        <v>3</v>
      </c>
      <c r="AQ101" s="19">
        <v>3</v>
      </c>
      <c r="AR101" s="19">
        <v>5</v>
      </c>
      <c r="AS101" s="19">
        <v>3</v>
      </c>
      <c r="AT101" s="28">
        <v>1</v>
      </c>
    </row>
    <row r="102" spans="1:46" ht="12.75" customHeight="1" x14ac:dyDescent="0.3">
      <c r="A102" s="158"/>
      <c r="B102" s="117">
        <v>46199</v>
      </c>
      <c r="C102" s="143">
        <v>0.75</v>
      </c>
      <c r="D102" s="137" t="s">
        <v>86</v>
      </c>
      <c r="E102" s="122" t="s">
        <v>61</v>
      </c>
      <c r="F102" s="122" t="s">
        <v>59</v>
      </c>
      <c r="G102" s="153">
        <v>0</v>
      </c>
      <c r="H102" s="153">
        <v>0</v>
      </c>
      <c r="I102" s="115" t="str">
        <f t="shared" ref="I102" si="27">IF(G102="","-",IF(G102&gt;H102,"L",IF(G102=H102,"E",IF(G102&lt;H102,"V"))))</f>
        <v>E</v>
      </c>
      <c r="J102" s="26" t="s">
        <v>7</v>
      </c>
      <c r="K102" s="13" t="s">
        <v>16</v>
      </c>
      <c r="L102" s="13" t="s">
        <v>16</v>
      </c>
      <c r="M102" s="13" t="s">
        <v>16</v>
      </c>
      <c r="N102" s="13" t="s">
        <v>15</v>
      </c>
      <c r="O102" s="13" t="s">
        <v>16</v>
      </c>
      <c r="P102" s="13" t="s">
        <v>16</v>
      </c>
      <c r="Q102" s="13" t="s">
        <v>16</v>
      </c>
      <c r="R102" s="13" t="s">
        <v>15</v>
      </c>
      <c r="S102" s="13" t="s">
        <v>7</v>
      </c>
      <c r="T102" s="13" t="s">
        <v>16</v>
      </c>
      <c r="U102" s="13" t="s">
        <v>16</v>
      </c>
      <c r="V102" s="13" t="s">
        <v>16</v>
      </c>
      <c r="W102" s="13" t="s">
        <v>16</v>
      </c>
      <c r="X102" s="13" t="s">
        <v>16</v>
      </c>
      <c r="Y102" s="13" t="s">
        <v>15</v>
      </c>
      <c r="Z102" s="13" t="s">
        <v>16</v>
      </c>
      <c r="AA102" s="13" t="s">
        <v>16</v>
      </c>
      <c r="AB102" s="13" t="s">
        <v>7</v>
      </c>
      <c r="AC102" s="13" t="s">
        <v>16</v>
      </c>
      <c r="AD102" s="13" t="s">
        <v>15</v>
      </c>
      <c r="AE102" s="13" t="s">
        <v>15</v>
      </c>
      <c r="AF102" s="13" t="s">
        <v>15</v>
      </c>
      <c r="AG102" s="13" t="s">
        <v>15</v>
      </c>
      <c r="AH102" s="13" t="s">
        <v>7</v>
      </c>
      <c r="AI102" s="85" t="s">
        <v>16</v>
      </c>
      <c r="AJ102" s="13" t="s">
        <v>7</v>
      </c>
      <c r="AK102" s="13" t="s">
        <v>16</v>
      </c>
      <c r="AL102" s="13" t="s">
        <v>15</v>
      </c>
      <c r="AM102" s="13" t="s">
        <v>15</v>
      </c>
      <c r="AN102" s="13" t="s">
        <v>7</v>
      </c>
      <c r="AO102" s="13" t="s">
        <v>7</v>
      </c>
      <c r="AP102" s="13" t="s">
        <v>15</v>
      </c>
      <c r="AQ102" s="13" t="s">
        <v>16</v>
      </c>
      <c r="AR102" s="13" t="s">
        <v>7</v>
      </c>
      <c r="AS102" s="13" t="s">
        <v>15</v>
      </c>
      <c r="AT102" s="25" t="s">
        <v>15</v>
      </c>
    </row>
    <row r="103" spans="1:46" ht="12.75" customHeight="1" x14ac:dyDescent="0.3">
      <c r="A103" s="159"/>
      <c r="B103" s="118"/>
      <c r="C103" s="118"/>
      <c r="D103" s="123"/>
      <c r="E103" s="123"/>
      <c r="F103" s="123"/>
      <c r="G103" s="154"/>
      <c r="H103" s="154"/>
      <c r="I103" s="116"/>
      <c r="J103" s="88">
        <v>1</v>
      </c>
      <c r="K103" s="14">
        <v>2</v>
      </c>
      <c r="L103" s="14">
        <v>2</v>
      </c>
      <c r="M103" s="14">
        <v>4</v>
      </c>
      <c r="N103" s="14">
        <v>3</v>
      </c>
      <c r="O103" s="14">
        <v>2</v>
      </c>
      <c r="P103" s="14">
        <v>4</v>
      </c>
      <c r="Q103" s="14">
        <v>2</v>
      </c>
      <c r="R103" s="14">
        <v>3</v>
      </c>
      <c r="S103" s="14">
        <v>2</v>
      </c>
      <c r="T103" s="14">
        <v>2</v>
      </c>
      <c r="U103" s="14">
        <v>2</v>
      </c>
      <c r="V103" s="14">
        <v>0</v>
      </c>
      <c r="W103" s="14">
        <v>2</v>
      </c>
      <c r="X103" s="14">
        <v>0</v>
      </c>
      <c r="Y103" s="14">
        <v>2</v>
      </c>
      <c r="Z103" s="14">
        <v>2</v>
      </c>
      <c r="AA103" s="14">
        <v>2</v>
      </c>
      <c r="AB103" s="14">
        <v>2</v>
      </c>
      <c r="AC103" s="14">
        <v>0</v>
      </c>
      <c r="AD103" s="14">
        <v>2</v>
      </c>
      <c r="AE103" s="14">
        <v>3</v>
      </c>
      <c r="AF103" s="14">
        <v>2</v>
      </c>
      <c r="AG103" s="14">
        <v>2</v>
      </c>
      <c r="AH103" s="14">
        <v>2</v>
      </c>
      <c r="AI103" s="89">
        <v>2</v>
      </c>
      <c r="AJ103" s="14">
        <v>1</v>
      </c>
      <c r="AK103" s="14">
        <v>4</v>
      </c>
      <c r="AL103" s="14">
        <v>3</v>
      </c>
      <c r="AM103" s="14">
        <v>3</v>
      </c>
      <c r="AN103" s="14">
        <v>3</v>
      </c>
      <c r="AO103" s="14">
        <v>1</v>
      </c>
      <c r="AP103" s="14">
        <v>2</v>
      </c>
      <c r="AQ103" s="14">
        <v>2</v>
      </c>
      <c r="AR103" s="14">
        <v>1</v>
      </c>
      <c r="AS103" s="14">
        <v>2</v>
      </c>
      <c r="AT103" s="29">
        <v>3</v>
      </c>
    </row>
    <row r="104" spans="1:46" ht="12.75" hidden="1" customHeight="1" x14ac:dyDescent="0.3">
      <c r="A104" s="133" t="s">
        <v>49</v>
      </c>
      <c r="B104" s="101">
        <v>46189</v>
      </c>
      <c r="C104" s="142">
        <v>0.54166666666666663</v>
      </c>
      <c r="D104" s="136" t="s">
        <v>80</v>
      </c>
      <c r="E104" s="105" t="s">
        <v>19</v>
      </c>
      <c r="F104" s="105" t="s">
        <v>64</v>
      </c>
      <c r="G104" s="155">
        <v>3</v>
      </c>
      <c r="H104" s="155">
        <v>1</v>
      </c>
      <c r="I104" s="107"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83"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hidden="1" customHeight="1" x14ac:dyDescent="0.3">
      <c r="A105" s="134"/>
      <c r="B105" s="102"/>
      <c r="C105" s="102"/>
      <c r="D105" s="106"/>
      <c r="E105" s="106"/>
      <c r="F105" s="106"/>
      <c r="G105" s="156"/>
      <c r="H105" s="156"/>
      <c r="I105" s="108"/>
      <c r="J105" s="23">
        <v>2</v>
      </c>
      <c r="K105" s="18">
        <v>4</v>
      </c>
      <c r="L105" s="18">
        <v>2</v>
      </c>
      <c r="M105" s="18">
        <v>2</v>
      </c>
      <c r="N105" s="18">
        <v>3</v>
      </c>
      <c r="O105" s="18">
        <v>2</v>
      </c>
      <c r="P105" s="18">
        <v>3</v>
      </c>
      <c r="Q105" s="18">
        <v>3</v>
      </c>
      <c r="R105" s="18">
        <v>3</v>
      </c>
      <c r="S105" s="18">
        <v>3</v>
      </c>
      <c r="T105" s="18">
        <v>3</v>
      </c>
      <c r="U105" s="18">
        <v>4</v>
      </c>
      <c r="V105" s="18">
        <v>3</v>
      </c>
      <c r="W105" s="18">
        <v>3</v>
      </c>
      <c r="X105" s="18">
        <v>4</v>
      </c>
      <c r="Y105" s="18">
        <v>3</v>
      </c>
      <c r="Z105" s="18">
        <v>4</v>
      </c>
      <c r="AA105" s="18">
        <v>3</v>
      </c>
      <c r="AB105" s="18">
        <v>3</v>
      </c>
      <c r="AC105" s="18">
        <v>4</v>
      </c>
      <c r="AD105" s="18">
        <v>3</v>
      </c>
      <c r="AE105" s="18">
        <v>4</v>
      </c>
      <c r="AF105" s="18">
        <v>4</v>
      </c>
      <c r="AG105" s="18">
        <v>3</v>
      </c>
      <c r="AH105" s="18">
        <v>3</v>
      </c>
      <c r="AI105" s="83">
        <v>3</v>
      </c>
      <c r="AJ105" s="18">
        <v>3</v>
      </c>
      <c r="AK105" s="18">
        <v>4</v>
      </c>
      <c r="AL105" s="18">
        <v>3</v>
      </c>
      <c r="AM105" s="18">
        <v>4</v>
      </c>
      <c r="AN105" s="18">
        <v>3</v>
      </c>
      <c r="AO105" s="18">
        <v>3</v>
      </c>
      <c r="AP105" s="18">
        <v>4</v>
      </c>
      <c r="AQ105" s="18">
        <v>3</v>
      </c>
      <c r="AR105" s="18">
        <v>3</v>
      </c>
      <c r="AS105" s="18">
        <v>4</v>
      </c>
      <c r="AT105" s="24">
        <v>4</v>
      </c>
    </row>
    <row r="106" spans="1:46" ht="12.75" hidden="1" customHeight="1" x14ac:dyDescent="0.3">
      <c r="A106" s="134"/>
      <c r="B106" s="101">
        <v>46189</v>
      </c>
      <c r="C106" s="142">
        <v>0.66666666666666663</v>
      </c>
      <c r="D106" s="136" t="s">
        <v>79</v>
      </c>
      <c r="E106" s="105" t="s">
        <v>62</v>
      </c>
      <c r="F106" s="105" t="s">
        <v>63</v>
      </c>
      <c r="G106" s="155">
        <v>1</v>
      </c>
      <c r="H106" s="155">
        <v>4</v>
      </c>
      <c r="I106" s="107" t="str">
        <f t="shared" ref="I106" si="28">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16</v>
      </c>
      <c r="AA106" s="13" t="s">
        <v>15</v>
      </c>
      <c r="AB106" s="13" t="s">
        <v>15</v>
      </c>
      <c r="AC106" s="13" t="s">
        <v>15</v>
      </c>
      <c r="AD106" s="13" t="s">
        <v>15</v>
      </c>
      <c r="AE106" s="13" t="s">
        <v>16</v>
      </c>
      <c r="AF106" s="13" t="s">
        <v>15</v>
      </c>
      <c r="AG106" s="13" t="s">
        <v>15</v>
      </c>
      <c r="AH106" s="13" t="s">
        <v>15</v>
      </c>
      <c r="AI106" s="85" t="s">
        <v>15</v>
      </c>
      <c r="AJ106" s="13" t="s">
        <v>15</v>
      </c>
      <c r="AK106" s="13" t="s">
        <v>15</v>
      </c>
      <c r="AL106" s="13" t="s">
        <v>15</v>
      </c>
      <c r="AM106" s="13" t="s">
        <v>16</v>
      </c>
      <c r="AN106" s="13" t="s">
        <v>15</v>
      </c>
      <c r="AO106" s="13" t="s">
        <v>15</v>
      </c>
      <c r="AP106" s="13" t="s">
        <v>15</v>
      </c>
      <c r="AQ106" s="13" t="s">
        <v>16</v>
      </c>
      <c r="AR106" s="13" t="s">
        <v>15</v>
      </c>
      <c r="AS106" s="13" t="s">
        <v>15</v>
      </c>
      <c r="AT106" s="25" t="s">
        <v>15</v>
      </c>
    </row>
    <row r="107" spans="1:46" ht="12.75" hidden="1" customHeight="1" x14ac:dyDescent="0.3">
      <c r="A107" s="134"/>
      <c r="B107" s="102"/>
      <c r="C107" s="102"/>
      <c r="D107" s="106"/>
      <c r="E107" s="106"/>
      <c r="F107" s="106"/>
      <c r="G107" s="156"/>
      <c r="H107" s="156"/>
      <c r="I107" s="108"/>
      <c r="J107" s="26">
        <v>3</v>
      </c>
      <c r="K107" s="13">
        <v>2</v>
      </c>
      <c r="L107" s="13">
        <v>3</v>
      </c>
      <c r="M107" s="13">
        <v>3</v>
      </c>
      <c r="N107" s="13">
        <v>2</v>
      </c>
      <c r="O107" s="13">
        <v>3</v>
      </c>
      <c r="P107" s="13">
        <v>3</v>
      </c>
      <c r="Q107" s="13">
        <v>4</v>
      </c>
      <c r="R107" s="13">
        <v>2</v>
      </c>
      <c r="S107" s="13">
        <v>3</v>
      </c>
      <c r="T107" s="13">
        <v>2</v>
      </c>
      <c r="U107" s="13">
        <v>3</v>
      </c>
      <c r="V107" s="13">
        <v>2</v>
      </c>
      <c r="W107" s="13">
        <v>2</v>
      </c>
      <c r="X107" s="13">
        <v>1</v>
      </c>
      <c r="Y107" s="13">
        <v>2</v>
      </c>
      <c r="Z107" s="13">
        <v>0</v>
      </c>
      <c r="AA107" s="13">
        <v>2</v>
      </c>
      <c r="AB107" s="13">
        <v>2</v>
      </c>
      <c r="AC107" s="13">
        <v>1</v>
      </c>
      <c r="AD107" s="13">
        <v>3</v>
      </c>
      <c r="AE107" s="13">
        <v>2</v>
      </c>
      <c r="AF107" s="13">
        <v>4</v>
      </c>
      <c r="AG107" s="13">
        <v>2</v>
      </c>
      <c r="AH107" s="13">
        <v>3</v>
      </c>
      <c r="AI107" s="85">
        <v>2</v>
      </c>
      <c r="AJ107" s="13">
        <v>4</v>
      </c>
      <c r="AK107" s="13">
        <v>3</v>
      </c>
      <c r="AL107" s="13">
        <v>5</v>
      </c>
      <c r="AM107" s="13">
        <v>4</v>
      </c>
      <c r="AN107" s="13">
        <v>3</v>
      </c>
      <c r="AO107" s="13">
        <v>3</v>
      </c>
      <c r="AP107" s="13">
        <v>3</v>
      </c>
      <c r="AQ107" s="13">
        <v>2</v>
      </c>
      <c r="AR107" s="13">
        <v>3</v>
      </c>
      <c r="AS107" s="13">
        <v>3</v>
      </c>
      <c r="AT107" s="25">
        <v>2</v>
      </c>
    </row>
    <row r="108" spans="1:46" ht="12.75" hidden="1" customHeight="1" x14ac:dyDescent="0.3">
      <c r="A108" s="134"/>
      <c r="B108" s="101">
        <v>46195</v>
      </c>
      <c r="C108" s="142">
        <v>0.625</v>
      </c>
      <c r="D108" s="136" t="s">
        <v>93</v>
      </c>
      <c r="E108" s="105" t="s">
        <v>19</v>
      </c>
      <c r="F108" s="105" t="s">
        <v>62</v>
      </c>
      <c r="G108" s="155">
        <v>3</v>
      </c>
      <c r="H108" s="155">
        <v>0</v>
      </c>
      <c r="I108" s="107" t="str">
        <f t="shared" ref="I108" si="29">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83"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hidden="1" customHeight="1" x14ac:dyDescent="0.3">
      <c r="A109" s="134"/>
      <c r="B109" s="102"/>
      <c r="C109" s="102"/>
      <c r="D109" s="106"/>
      <c r="E109" s="106"/>
      <c r="F109" s="106"/>
      <c r="G109" s="156"/>
      <c r="H109" s="156"/>
      <c r="I109" s="108"/>
      <c r="J109" s="23">
        <v>3</v>
      </c>
      <c r="K109" s="18">
        <v>3</v>
      </c>
      <c r="L109" s="18">
        <v>3</v>
      </c>
      <c r="M109" s="18">
        <v>4</v>
      </c>
      <c r="N109" s="18">
        <v>3</v>
      </c>
      <c r="O109" s="18">
        <v>3</v>
      </c>
      <c r="P109" s="18">
        <v>3</v>
      </c>
      <c r="Q109" s="18">
        <v>5</v>
      </c>
      <c r="R109" s="18">
        <v>3</v>
      </c>
      <c r="S109" s="18">
        <v>4</v>
      </c>
      <c r="T109" s="18">
        <v>3</v>
      </c>
      <c r="U109" s="18">
        <v>5</v>
      </c>
      <c r="V109" s="18">
        <v>3</v>
      </c>
      <c r="W109" s="18">
        <v>4</v>
      </c>
      <c r="X109" s="18">
        <v>3</v>
      </c>
      <c r="Y109" s="18">
        <v>3</v>
      </c>
      <c r="Z109" s="18">
        <v>3</v>
      </c>
      <c r="AA109" s="18">
        <v>3</v>
      </c>
      <c r="AB109" s="18">
        <v>4</v>
      </c>
      <c r="AC109" s="18">
        <v>2</v>
      </c>
      <c r="AD109" s="18">
        <v>2</v>
      </c>
      <c r="AE109" s="18">
        <v>5</v>
      </c>
      <c r="AF109" s="18">
        <v>3</v>
      </c>
      <c r="AG109" s="18">
        <v>3</v>
      </c>
      <c r="AH109" s="18">
        <v>4</v>
      </c>
      <c r="AI109" s="83">
        <v>3</v>
      </c>
      <c r="AJ109" s="18">
        <v>4</v>
      </c>
      <c r="AK109" s="18">
        <v>5</v>
      </c>
      <c r="AL109" s="18">
        <v>4</v>
      </c>
      <c r="AM109" s="18">
        <v>4</v>
      </c>
      <c r="AN109" s="18">
        <v>3</v>
      </c>
      <c r="AO109" s="18">
        <v>4</v>
      </c>
      <c r="AP109" s="18">
        <v>4</v>
      </c>
      <c r="AQ109" s="18">
        <v>4</v>
      </c>
      <c r="AR109" s="18">
        <v>3</v>
      </c>
      <c r="AS109" s="18">
        <v>4</v>
      </c>
      <c r="AT109" s="24">
        <v>4</v>
      </c>
    </row>
    <row r="110" spans="1:46" ht="12.75" hidden="1" customHeight="1" x14ac:dyDescent="0.3">
      <c r="A110" s="134"/>
      <c r="B110" s="101">
        <v>46195</v>
      </c>
      <c r="C110" s="142">
        <v>0.75</v>
      </c>
      <c r="D110" s="136" t="s">
        <v>80</v>
      </c>
      <c r="E110" s="105" t="s">
        <v>63</v>
      </c>
      <c r="F110" s="105" t="s">
        <v>64</v>
      </c>
      <c r="G110" s="155">
        <v>3</v>
      </c>
      <c r="H110" s="155">
        <v>2</v>
      </c>
      <c r="I110" s="107" t="str">
        <f t="shared" ref="I110" si="30">IF(G110="","-",IF(G110&gt;H110,"L",IF(G110=H110,"E",IF(G110&lt;H110,"V"))))</f>
        <v>L</v>
      </c>
      <c r="J110" s="26" t="s">
        <v>7</v>
      </c>
      <c r="K110" s="13" t="s">
        <v>15</v>
      </c>
      <c r="L110" s="13" t="s">
        <v>16</v>
      </c>
      <c r="M110" s="13" t="s">
        <v>7</v>
      </c>
      <c r="N110" s="13" t="s">
        <v>7</v>
      </c>
      <c r="O110" s="13" t="s">
        <v>16</v>
      </c>
      <c r="P110" s="13" t="s">
        <v>7</v>
      </c>
      <c r="Q110" s="13" t="s">
        <v>16</v>
      </c>
      <c r="R110" s="13" t="s">
        <v>15</v>
      </c>
      <c r="S110" s="13" t="s">
        <v>16</v>
      </c>
      <c r="T110" s="13" t="s">
        <v>7</v>
      </c>
      <c r="U110" s="13" t="s">
        <v>7</v>
      </c>
      <c r="V110" s="13" t="s">
        <v>7</v>
      </c>
      <c r="W110" s="13" t="s">
        <v>16</v>
      </c>
      <c r="X110" s="13" t="s">
        <v>15</v>
      </c>
      <c r="Y110" s="13" t="s">
        <v>16</v>
      </c>
      <c r="Z110" s="13" t="s">
        <v>15</v>
      </c>
      <c r="AA110" s="13" t="s">
        <v>16</v>
      </c>
      <c r="AB110" s="13" t="s">
        <v>7</v>
      </c>
      <c r="AC110" s="13" t="s">
        <v>15</v>
      </c>
      <c r="AD110" s="13" t="s">
        <v>7</v>
      </c>
      <c r="AE110" s="13" t="s">
        <v>7</v>
      </c>
      <c r="AF110" s="13" t="s">
        <v>7</v>
      </c>
      <c r="AG110" s="13" t="s">
        <v>7</v>
      </c>
      <c r="AH110" s="13" t="s">
        <v>16</v>
      </c>
      <c r="AI110" s="85" t="s">
        <v>16</v>
      </c>
      <c r="AJ110" s="13" t="s">
        <v>7</v>
      </c>
      <c r="AK110" s="13" t="s">
        <v>16</v>
      </c>
      <c r="AL110" s="13" t="s">
        <v>7</v>
      </c>
      <c r="AM110" s="13" t="s">
        <v>15</v>
      </c>
      <c r="AN110" s="13" t="s">
        <v>7</v>
      </c>
      <c r="AO110" s="13" t="s">
        <v>16</v>
      </c>
      <c r="AP110" s="13" t="s">
        <v>7</v>
      </c>
      <c r="AQ110" s="13" t="s">
        <v>16</v>
      </c>
      <c r="AR110" s="13" t="s">
        <v>15</v>
      </c>
      <c r="AS110" s="13" t="s">
        <v>7</v>
      </c>
      <c r="AT110" s="25" t="s">
        <v>7</v>
      </c>
    </row>
    <row r="111" spans="1:46" ht="12.75" hidden="1" customHeight="1" x14ac:dyDescent="0.3">
      <c r="A111" s="134"/>
      <c r="B111" s="102"/>
      <c r="C111" s="102"/>
      <c r="D111" s="106"/>
      <c r="E111" s="106"/>
      <c r="F111" s="106"/>
      <c r="G111" s="156"/>
      <c r="H111" s="156"/>
      <c r="I111" s="108"/>
      <c r="J111" s="26">
        <v>3</v>
      </c>
      <c r="K111" s="13">
        <v>2</v>
      </c>
      <c r="L111" s="13">
        <v>2</v>
      </c>
      <c r="M111" s="13">
        <v>3</v>
      </c>
      <c r="N111" s="13">
        <v>3</v>
      </c>
      <c r="O111" s="13">
        <v>2</v>
      </c>
      <c r="P111" s="13">
        <v>2</v>
      </c>
      <c r="Q111" s="13">
        <v>0</v>
      </c>
      <c r="R111" s="13">
        <v>3</v>
      </c>
      <c r="S111" s="13">
        <v>2</v>
      </c>
      <c r="T111" s="13">
        <v>3</v>
      </c>
      <c r="U111" s="13">
        <v>2</v>
      </c>
      <c r="V111" s="13">
        <v>2</v>
      </c>
      <c r="W111" s="13">
        <v>2</v>
      </c>
      <c r="X111" s="13">
        <v>1</v>
      </c>
      <c r="Y111" s="13">
        <v>2</v>
      </c>
      <c r="Z111" s="13">
        <v>3</v>
      </c>
      <c r="AA111" s="13">
        <v>2</v>
      </c>
      <c r="AB111" s="13">
        <v>3</v>
      </c>
      <c r="AC111" s="13">
        <v>1</v>
      </c>
      <c r="AD111" s="13">
        <v>3</v>
      </c>
      <c r="AE111" s="13">
        <v>4</v>
      </c>
      <c r="AF111" s="13">
        <v>4</v>
      </c>
      <c r="AG111" s="13">
        <v>2</v>
      </c>
      <c r="AH111" s="13">
        <v>2</v>
      </c>
      <c r="AI111" s="85">
        <v>2</v>
      </c>
      <c r="AJ111" s="13">
        <v>3</v>
      </c>
      <c r="AK111" s="13">
        <v>4</v>
      </c>
      <c r="AL111" s="13">
        <v>2</v>
      </c>
      <c r="AM111" s="13">
        <v>5</v>
      </c>
      <c r="AN111" s="13">
        <v>3</v>
      </c>
      <c r="AO111" s="13">
        <v>2</v>
      </c>
      <c r="AP111" s="13">
        <v>2</v>
      </c>
      <c r="AQ111" s="13">
        <v>4</v>
      </c>
      <c r="AR111" s="13">
        <v>2</v>
      </c>
      <c r="AS111" s="13">
        <v>3</v>
      </c>
      <c r="AT111" s="25">
        <v>2</v>
      </c>
    </row>
    <row r="112" spans="1:46" ht="12.75" customHeight="1" x14ac:dyDescent="0.3">
      <c r="A112" s="134"/>
      <c r="B112" s="101">
        <v>46199</v>
      </c>
      <c r="C112" s="142">
        <v>0.54166666666666663</v>
      </c>
      <c r="D112" s="136" t="s">
        <v>79</v>
      </c>
      <c r="E112" s="105" t="s">
        <v>63</v>
      </c>
      <c r="F112" s="105" t="s">
        <v>19</v>
      </c>
      <c r="G112" s="155">
        <v>1</v>
      </c>
      <c r="H112" s="155">
        <v>4</v>
      </c>
      <c r="I112" s="107" t="str">
        <f t="shared" ref="I112" si="31">IF(G112="","-",IF(G112&gt;H112,"L",IF(G112=H112,"E",IF(G112&lt;H112,"V"))))</f>
        <v>V</v>
      </c>
      <c r="J112" s="23" t="s">
        <v>15</v>
      </c>
      <c r="K112" s="18" t="s">
        <v>15</v>
      </c>
      <c r="L112" s="18" t="s">
        <v>15</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16</v>
      </c>
      <c r="AI112" s="83" t="s">
        <v>15</v>
      </c>
      <c r="AJ112" s="18" t="s">
        <v>16</v>
      </c>
      <c r="AK112" s="18" t="s">
        <v>15</v>
      </c>
      <c r="AL112" s="18" t="s">
        <v>15</v>
      </c>
      <c r="AM112" s="18" t="s">
        <v>15</v>
      </c>
      <c r="AN112" s="18" t="s">
        <v>15</v>
      </c>
      <c r="AO112" s="18" t="s">
        <v>15</v>
      </c>
      <c r="AP112" s="18" t="s">
        <v>16</v>
      </c>
      <c r="AQ112" s="18" t="s">
        <v>15</v>
      </c>
      <c r="AR112" s="18" t="s">
        <v>7</v>
      </c>
      <c r="AS112" s="18" t="s">
        <v>15</v>
      </c>
      <c r="AT112" s="24" t="s">
        <v>7</v>
      </c>
    </row>
    <row r="113" spans="1:46" ht="12.75" customHeight="1" x14ac:dyDescent="0.3">
      <c r="A113" s="134"/>
      <c r="B113" s="102"/>
      <c r="C113" s="102"/>
      <c r="D113" s="106"/>
      <c r="E113" s="106"/>
      <c r="F113" s="106"/>
      <c r="G113" s="156"/>
      <c r="H113" s="156"/>
      <c r="I113" s="108"/>
      <c r="J113" s="23">
        <v>2</v>
      </c>
      <c r="K113" s="18">
        <v>3</v>
      </c>
      <c r="L113" s="18">
        <v>3</v>
      </c>
      <c r="M113" s="18">
        <v>3</v>
      </c>
      <c r="N113" s="18">
        <v>3</v>
      </c>
      <c r="O113" s="18">
        <v>3</v>
      </c>
      <c r="P113" s="18">
        <v>2</v>
      </c>
      <c r="Q113" s="18">
        <v>4</v>
      </c>
      <c r="R113" s="18">
        <v>3</v>
      </c>
      <c r="S113" s="18">
        <v>3</v>
      </c>
      <c r="T113" s="18">
        <v>3</v>
      </c>
      <c r="U113" s="18">
        <v>2</v>
      </c>
      <c r="V113" s="18">
        <v>2</v>
      </c>
      <c r="W113" s="18">
        <v>3</v>
      </c>
      <c r="X113" s="18">
        <v>2</v>
      </c>
      <c r="Y113" s="18">
        <v>3</v>
      </c>
      <c r="Z113" s="18">
        <v>3</v>
      </c>
      <c r="AA113" s="18">
        <v>3</v>
      </c>
      <c r="AB113" s="18">
        <v>3</v>
      </c>
      <c r="AC113" s="18">
        <v>1</v>
      </c>
      <c r="AD113" s="18">
        <v>3</v>
      </c>
      <c r="AE113" s="18">
        <v>5</v>
      </c>
      <c r="AF113" s="18">
        <v>3</v>
      </c>
      <c r="AG113" s="18">
        <v>4</v>
      </c>
      <c r="AH113" s="18">
        <v>2</v>
      </c>
      <c r="AI113" s="83">
        <v>3</v>
      </c>
      <c r="AJ113" s="18">
        <v>2</v>
      </c>
      <c r="AK113" s="18">
        <v>3</v>
      </c>
      <c r="AL113" s="18">
        <v>2</v>
      </c>
      <c r="AM113" s="18">
        <v>4</v>
      </c>
      <c r="AN113" s="18">
        <v>3</v>
      </c>
      <c r="AO113" s="18">
        <v>3</v>
      </c>
      <c r="AP113" s="18">
        <v>2</v>
      </c>
      <c r="AQ113" s="18">
        <v>4</v>
      </c>
      <c r="AR113" s="18">
        <v>3</v>
      </c>
      <c r="AS113" s="18">
        <v>3</v>
      </c>
      <c r="AT113" s="24">
        <v>1</v>
      </c>
    </row>
    <row r="114" spans="1:46" ht="12.75" customHeight="1" x14ac:dyDescent="0.3">
      <c r="A114" s="134"/>
      <c r="B114" s="101">
        <v>46199</v>
      </c>
      <c r="C114" s="142">
        <v>0.54166666666666663</v>
      </c>
      <c r="D114" s="136" t="s">
        <v>83</v>
      </c>
      <c r="E114" s="105" t="s">
        <v>64</v>
      </c>
      <c r="F114" s="105" t="s">
        <v>62</v>
      </c>
      <c r="G114" s="155">
        <v>5</v>
      </c>
      <c r="H114" s="155">
        <v>0</v>
      </c>
      <c r="I114" s="107" t="str">
        <f t="shared" ref="I114" si="32">IF(G114="","-",IF(G114&gt;H114,"L",IF(G114=H114,"E",IF(G114&lt;H114,"V"))))</f>
        <v>L</v>
      </c>
      <c r="J114" s="26" t="s">
        <v>7</v>
      </c>
      <c r="K114" s="13" t="s">
        <v>16</v>
      </c>
      <c r="L114" s="13" t="s">
        <v>7</v>
      </c>
      <c r="M114" s="13" t="s">
        <v>7</v>
      </c>
      <c r="N114" s="13" t="s">
        <v>7</v>
      </c>
      <c r="O114" s="13" t="s">
        <v>7</v>
      </c>
      <c r="P114" s="13" t="s">
        <v>7</v>
      </c>
      <c r="Q114" s="13" t="s">
        <v>7</v>
      </c>
      <c r="R114" s="13" t="s">
        <v>7</v>
      </c>
      <c r="S114" s="13" t="s">
        <v>7</v>
      </c>
      <c r="T114" s="13" t="s">
        <v>7</v>
      </c>
      <c r="U114" s="13" t="s">
        <v>16</v>
      </c>
      <c r="V114" s="13" t="s">
        <v>7</v>
      </c>
      <c r="W114" s="13" t="s">
        <v>7</v>
      </c>
      <c r="X114" s="13" t="s">
        <v>16</v>
      </c>
      <c r="Y114" s="13" t="s">
        <v>7</v>
      </c>
      <c r="Z114" s="13" t="s">
        <v>16</v>
      </c>
      <c r="AA114" s="13" t="s">
        <v>7</v>
      </c>
      <c r="AB114" s="13" t="s">
        <v>7</v>
      </c>
      <c r="AC114" s="13" t="s">
        <v>16</v>
      </c>
      <c r="AD114" s="13" t="s">
        <v>7</v>
      </c>
      <c r="AE114" s="13" t="s">
        <v>16</v>
      </c>
      <c r="AF114" s="13" t="s">
        <v>7</v>
      </c>
      <c r="AG114" s="13" t="s">
        <v>16</v>
      </c>
      <c r="AH114" s="13" t="s">
        <v>7</v>
      </c>
      <c r="AI114" s="85" t="s">
        <v>7</v>
      </c>
      <c r="AJ114" s="13" t="s">
        <v>7</v>
      </c>
      <c r="AK114" s="13" t="s">
        <v>7</v>
      </c>
      <c r="AL114" s="13" t="s">
        <v>7</v>
      </c>
      <c r="AM114" s="13" t="s">
        <v>16</v>
      </c>
      <c r="AN114" s="13" t="s">
        <v>16</v>
      </c>
      <c r="AO114" s="13" t="s">
        <v>7</v>
      </c>
      <c r="AP114" s="13" t="s">
        <v>16</v>
      </c>
      <c r="AQ114" s="13" t="s">
        <v>16</v>
      </c>
      <c r="AR114" s="13" t="s">
        <v>7</v>
      </c>
      <c r="AS114" s="13" t="s">
        <v>16</v>
      </c>
      <c r="AT114" s="25" t="s">
        <v>7</v>
      </c>
    </row>
    <row r="115" spans="1:46" ht="12.75" customHeight="1" x14ac:dyDescent="0.3">
      <c r="A115" s="135"/>
      <c r="B115" s="102"/>
      <c r="C115" s="102"/>
      <c r="D115" s="106"/>
      <c r="E115" s="106"/>
      <c r="F115" s="106"/>
      <c r="G115" s="156"/>
      <c r="H115" s="156"/>
      <c r="I115" s="108"/>
      <c r="J115" s="26">
        <v>2</v>
      </c>
      <c r="K115" s="13">
        <v>4</v>
      </c>
      <c r="L115" s="13">
        <v>3</v>
      </c>
      <c r="M115" s="13">
        <v>4</v>
      </c>
      <c r="N115" s="13">
        <v>2</v>
      </c>
      <c r="O115" s="13">
        <v>2</v>
      </c>
      <c r="P115" s="13">
        <v>2</v>
      </c>
      <c r="Q115" s="13">
        <v>4</v>
      </c>
      <c r="R115" s="13">
        <v>2</v>
      </c>
      <c r="S115" s="13">
        <v>2</v>
      </c>
      <c r="T115" s="13">
        <v>2</v>
      </c>
      <c r="U115" s="13">
        <v>4</v>
      </c>
      <c r="V115" s="13">
        <v>1</v>
      </c>
      <c r="W115" s="13">
        <v>2</v>
      </c>
      <c r="X115" s="13">
        <v>4</v>
      </c>
      <c r="Y115" s="13">
        <v>2</v>
      </c>
      <c r="Z115" s="13">
        <v>2</v>
      </c>
      <c r="AA115" s="13">
        <v>2</v>
      </c>
      <c r="AB115" s="13">
        <v>2</v>
      </c>
      <c r="AC115" s="13">
        <v>4</v>
      </c>
      <c r="AD115" s="13">
        <v>3</v>
      </c>
      <c r="AE115" s="13">
        <v>4</v>
      </c>
      <c r="AF115" s="13">
        <v>3</v>
      </c>
      <c r="AG115" s="13">
        <v>2</v>
      </c>
      <c r="AH115" s="13">
        <v>2</v>
      </c>
      <c r="AI115" s="85">
        <v>2</v>
      </c>
      <c r="AJ115" s="13">
        <v>2</v>
      </c>
      <c r="AK115" s="13">
        <v>3</v>
      </c>
      <c r="AL115" s="13">
        <v>3</v>
      </c>
      <c r="AM115" s="13">
        <v>4</v>
      </c>
      <c r="AN115" s="13">
        <v>2</v>
      </c>
      <c r="AO115" s="13">
        <v>1</v>
      </c>
      <c r="AP115" s="13">
        <v>4</v>
      </c>
      <c r="AQ115" s="13">
        <v>0</v>
      </c>
      <c r="AR115" s="13">
        <v>4</v>
      </c>
      <c r="AS115" s="13">
        <v>2</v>
      </c>
      <c r="AT115" s="25">
        <v>4</v>
      </c>
    </row>
    <row r="116" spans="1:46" ht="12.75" customHeight="1" x14ac:dyDescent="0.3">
      <c r="A116" s="157" t="s">
        <v>50</v>
      </c>
      <c r="B116" s="117">
        <v>46189</v>
      </c>
      <c r="C116" s="143">
        <v>0.79166666666666663</v>
      </c>
      <c r="D116" s="137" t="s">
        <v>92</v>
      </c>
      <c r="E116" s="122" t="s">
        <v>65</v>
      </c>
      <c r="F116" s="122" t="s">
        <v>67</v>
      </c>
      <c r="G116" s="153">
        <v>3</v>
      </c>
      <c r="H116" s="153">
        <v>0</v>
      </c>
      <c r="I116" s="115" t="str">
        <f t="shared" ref="I116" si="33">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87"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58"/>
      <c r="B117" s="118"/>
      <c r="C117" s="118"/>
      <c r="D117" s="123"/>
      <c r="E117" s="123"/>
      <c r="F117" s="123"/>
      <c r="G117" s="154"/>
      <c r="H117" s="154"/>
      <c r="I117" s="116"/>
      <c r="J117" s="27">
        <v>3</v>
      </c>
      <c r="K117" s="19">
        <v>3</v>
      </c>
      <c r="L117" s="19">
        <v>3</v>
      </c>
      <c r="M117" s="19">
        <v>3</v>
      </c>
      <c r="N117" s="19">
        <v>3</v>
      </c>
      <c r="O117" s="19">
        <v>3</v>
      </c>
      <c r="P117" s="19">
        <v>3</v>
      </c>
      <c r="Q117" s="19">
        <v>4</v>
      </c>
      <c r="R117" s="19">
        <v>2</v>
      </c>
      <c r="S117" s="19">
        <v>2</v>
      </c>
      <c r="T117" s="19">
        <v>2</v>
      </c>
      <c r="U117" s="19">
        <v>3</v>
      </c>
      <c r="V117" s="19">
        <v>3</v>
      </c>
      <c r="W117" s="19">
        <v>3</v>
      </c>
      <c r="X117" s="19">
        <v>3</v>
      </c>
      <c r="Y117" s="19">
        <v>3</v>
      </c>
      <c r="Z117" s="19">
        <v>3</v>
      </c>
      <c r="AA117" s="19">
        <v>3</v>
      </c>
      <c r="AB117" s="19">
        <v>3</v>
      </c>
      <c r="AC117" s="19">
        <v>3</v>
      </c>
      <c r="AD117" s="19">
        <v>4</v>
      </c>
      <c r="AE117" s="19">
        <v>3</v>
      </c>
      <c r="AF117" s="19">
        <v>3</v>
      </c>
      <c r="AG117" s="19">
        <v>1</v>
      </c>
      <c r="AH117" s="19">
        <v>2</v>
      </c>
      <c r="AI117" s="87">
        <v>3</v>
      </c>
      <c r="AJ117" s="19">
        <v>2</v>
      </c>
      <c r="AK117" s="19">
        <v>2</v>
      </c>
      <c r="AL117" s="19">
        <v>4</v>
      </c>
      <c r="AM117" s="19">
        <v>3</v>
      </c>
      <c r="AN117" s="19">
        <v>1</v>
      </c>
      <c r="AO117" s="19">
        <v>3</v>
      </c>
      <c r="AP117" s="19">
        <v>4</v>
      </c>
      <c r="AQ117" s="19">
        <v>3</v>
      </c>
      <c r="AR117" s="19">
        <v>1</v>
      </c>
      <c r="AS117" s="19">
        <v>3</v>
      </c>
      <c r="AT117" s="28">
        <v>3</v>
      </c>
    </row>
    <row r="118" spans="1:46" ht="12.75" customHeight="1" x14ac:dyDescent="0.3">
      <c r="A118" s="158"/>
      <c r="B118" s="117">
        <v>46189</v>
      </c>
      <c r="C118" s="143">
        <v>0.91666666666666663</v>
      </c>
      <c r="D118" s="137" t="s">
        <v>84</v>
      </c>
      <c r="E118" s="122" t="s">
        <v>26</v>
      </c>
      <c r="F118" s="122" t="s">
        <v>66</v>
      </c>
      <c r="G118" s="153">
        <v>3</v>
      </c>
      <c r="H118" s="153">
        <v>1</v>
      </c>
      <c r="I118" s="115" t="str">
        <f t="shared" ref="I118" si="34">IF(G118="","-",IF(G118&gt;H118,"L",IF(G118=H118,"E",IF(G118&lt;H118,"V"))))</f>
        <v>L</v>
      </c>
      <c r="J118" s="26" t="s">
        <v>7</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16</v>
      </c>
      <c r="Y118" s="13" t="s">
        <v>7</v>
      </c>
      <c r="Z118" s="13" t="s">
        <v>7</v>
      </c>
      <c r="AA118" s="13" t="s">
        <v>7</v>
      </c>
      <c r="AB118" s="13" t="s">
        <v>7</v>
      </c>
      <c r="AC118" s="13" t="s">
        <v>16</v>
      </c>
      <c r="AD118" s="13" t="s">
        <v>7</v>
      </c>
      <c r="AE118" s="13" t="s">
        <v>7</v>
      </c>
      <c r="AF118" s="13" t="s">
        <v>7</v>
      </c>
      <c r="AG118" s="13" t="s">
        <v>16</v>
      </c>
      <c r="AH118" s="13" t="s">
        <v>7</v>
      </c>
      <c r="AI118" s="85" t="s">
        <v>7</v>
      </c>
      <c r="AJ118" s="13" t="s">
        <v>7</v>
      </c>
      <c r="AK118" s="13" t="s">
        <v>7</v>
      </c>
      <c r="AL118" s="13" t="s">
        <v>7</v>
      </c>
      <c r="AM118" s="13" t="s">
        <v>7</v>
      </c>
      <c r="AN118" s="13" t="s">
        <v>15</v>
      </c>
      <c r="AO118" s="13" t="s">
        <v>16</v>
      </c>
      <c r="AP118" s="13" t="s">
        <v>7</v>
      </c>
      <c r="AQ118" s="13" t="s">
        <v>16</v>
      </c>
      <c r="AR118" s="13" t="s">
        <v>16</v>
      </c>
      <c r="AS118" s="13" t="s">
        <v>7</v>
      </c>
      <c r="AT118" s="25" t="s">
        <v>7</v>
      </c>
    </row>
    <row r="119" spans="1:46" ht="12.75" customHeight="1" x14ac:dyDescent="0.3">
      <c r="A119" s="158"/>
      <c r="B119" s="118"/>
      <c r="C119" s="118"/>
      <c r="D119" s="123"/>
      <c r="E119" s="123"/>
      <c r="F119" s="123"/>
      <c r="G119" s="154"/>
      <c r="H119" s="154"/>
      <c r="I119" s="116"/>
      <c r="J119" s="26">
        <v>2</v>
      </c>
      <c r="K119" s="13">
        <v>3</v>
      </c>
      <c r="L119" s="13">
        <v>2</v>
      </c>
      <c r="M119" s="13">
        <v>2</v>
      </c>
      <c r="N119" s="13">
        <v>2</v>
      </c>
      <c r="O119" s="13">
        <v>2</v>
      </c>
      <c r="P119" s="13">
        <v>2</v>
      </c>
      <c r="Q119" s="13">
        <v>3</v>
      </c>
      <c r="R119" s="13">
        <v>2</v>
      </c>
      <c r="S119" s="13">
        <v>2</v>
      </c>
      <c r="T119" s="13">
        <v>2</v>
      </c>
      <c r="U119" s="13">
        <v>2</v>
      </c>
      <c r="V119" s="13">
        <v>1</v>
      </c>
      <c r="W119" s="13">
        <v>3</v>
      </c>
      <c r="X119" s="13">
        <v>2</v>
      </c>
      <c r="Y119" s="13">
        <v>2</v>
      </c>
      <c r="Z119" s="13">
        <v>2</v>
      </c>
      <c r="AA119" s="13">
        <v>2</v>
      </c>
      <c r="AB119" s="13">
        <v>3</v>
      </c>
      <c r="AC119" s="13">
        <v>2</v>
      </c>
      <c r="AD119" s="13">
        <v>2</v>
      </c>
      <c r="AE119" s="13">
        <v>4</v>
      </c>
      <c r="AF119" s="13">
        <v>3</v>
      </c>
      <c r="AG119" s="13">
        <v>2</v>
      </c>
      <c r="AH119" s="13">
        <v>1</v>
      </c>
      <c r="AI119" s="85">
        <v>2</v>
      </c>
      <c r="AJ119" s="13">
        <v>2</v>
      </c>
      <c r="AK119" s="13">
        <v>2</v>
      </c>
      <c r="AL119" s="13">
        <v>3</v>
      </c>
      <c r="AM119" s="13">
        <v>1</v>
      </c>
      <c r="AN119" s="13">
        <v>3</v>
      </c>
      <c r="AO119" s="13">
        <v>1</v>
      </c>
      <c r="AP119" s="13">
        <v>2</v>
      </c>
      <c r="AQ119" s="13">
        <v>0</v>
      </c>
      <c r="AR119" s="13">
        <v>0</v>
      </c>
      <c r="AS119" s="13">
        <v>3</v>
      </c>
      <c r="AT119" s="25">
        <v>3</v>
      </c>
    </row>
    <row r="120" spans="1:46" ht="12.75" customHeight="1" x14ac:dyDescent="0.3">
      <c r="A120" s="158"/>
      <c r="B120" s="117">
        <v>46195</v>
      </c>
      <c r="C120" s="143">
        <v>0.45833333333333331</v>
      </c>
      <c r="D120" s="137" t="s">
        <v>87</v>
      </c>
      <c r="E120" s="122" t="s">
        <v>65</v>
      </c>
      <c r="F120" s="122" t="s">
        <v>26</v>
      </c>
      <c r="G120" s="153">
        <v>2</v>
      </c>
      <c r="H120" s="153">
        <v>0</v>
      </c>
      <c r="I120" s="115" t="str">
        <f t="shared" ref="I120" si="35">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87"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58"/>
      <c r="B121" s="118"/>
      <c r="C121" s="118"/>
      <c r="D121" s="123"/>
      <c r="E121" s="123"/>
      <c r="F121" s="123"/>
      <c r="G121" s="154"/>
      <c r="H121" s="154"/>
      <c r="I121" s="116"/>
      <c r="J121" s="27">
        <v>2</v>
      </c>
      <c r="K121" s="19">
        <v>3</v>
      </c>
      <c r="L121" s="19">
        <v>3</v>
      </c>
      <c r="M121" s="19">
        <v>3</v>
      </c>
      <c r="N121" s="19">
        <v>3</v>
      </c>
      <c r="O121" s="19">
        <v>3</v>
      </c>
      <c r="P121" s="19">
        <v>2</v>
      </c>
      <c r="Q121" s="19">
        <v>3</v>
      </c>
      <c r="R121" s="19">
        <v>3</v>
      </c>
      <c r="S121" s="19">
        <v>2</v>
      </c>
      <c r="T121" s="19">
        <v>3</v>
      </c>
      <c r="U121" s="19">
        <v>5</v>
      </c>
      <c r="V121" s="19">
        <v>2</v>
      </c>
      <c r="W121" s="19">
        <v>3</v>
      </c>
      <c r="X121" s="19">
        <v>1</v>
      </c>
      <c r="Y121" s="19">
        <v>2</v>
      </c>
      <c r="Z121" s="19">
        <v>3</v>
      </c>
      <c r="AA121" s="19">
        <v>3</v>
      </c>
      <c r="AB121" s="19">
        <v>3</v>
      </c>
      <c r="AC121" s="19">
        <v>1</v>
      </c>
      <c r="AD121" s="19">
        <v>3</v>
      </c>
      <c r="AE121" s="19">
        <v>4</v>
      </c>
      <c r="AF121" s="19">
        <v>2</v>
      </c>
      <c r="AG121" s="19">
        <v>3</v>
      </c>
      <c r="AH121" s="19">
        <v>3</v>
      </c>
      <c r="AI121" s="87">
        <v>3</v>
      </c>
      <c r="AJ121" s="19">
        <v>2</v>
      </c>
      <c r="AK121" s="19">
        <v>3</v>
      </c>
      <c r="AL121" s="19">
        <v>3</v>
      </c>
      <c r="AM121" s="19">
        <v>2</v>
      </c>
      <c r="AN121" s="19">
        <v>2</v>
      </c>
      <c r="AO121" s="19">
        <v>4</v>
      </c>
      <c r="AP121" s="19">
        <v>4</v>
      </c>
      <c r="AQ121" s="19">
        <v>2</v>
      </c>
      <c r="AR121" s="19">
        <v>2</v>
      </c>
      <c r="AS121" s="19">
        <v>3</v>
      </c>
      <c r="AT121" s="28">
        <v>4</v>
      </c>
    </row>
    <row r="122" spans="1:46" ht="12.75" customHeight="1" x14ac:dyDescent="0.3">
      <c r="A122" s="158"/>
      <c r="B122" s="117">
        <v>46195</v>
      </c>
      <c r="C122" s="143">
        <v>0.875</v>
      </c>
      <c r="D122" s="137" t="s">
        <v>84</v>
      </c>
      <c r="E122" s="122" t="s">
        <v>66</v>
      </c>
      <c r="F122" s="122" t="s">
        <v>67</v>
      </c>
      <c r="G122" s="153">
        <v>1</v>
      </c>
      <c r="H122" s="153">
        <v>2</v>
      </c>
      <c r="I122" s="115" t="str">
        <f t="shared" ref="I122" si="36">IF(G122="","-",IF(G122&gt;H122,"L",IF(G122=H122,"E",IF(G122&lt;H122,"V"))))</f>
        <v>V</v>
      </c>
      <c r="J122" s="26" t="s">
        <v>15</v>
      </c>
      <c r="K122" s="13" t="s">
        <v>16</v>
      </c>
      <c r="L122" s="13" t="s">
        <v>16</v>
      </c>
      <c r="M122" s="13" t="s">
        <v>16</v>
      </c>
      <c r="N122" s="13" t="s">
        <v>15</v>
      </c>
      <c r="O122" s="13" t="s">
        <v>15</v>
      </c>
      <c r="P122" s="13" t="s">
        <v>15</v>
      </c>
      <c r="Q122" s="13" t="s">
        <v>15</v>
      </c>
      <c r="R122" s="13" t="s">
        <v>15</v>
      </c>
      <c r="S122" s="13" t="s">
        <v>15</v>
      </c>
      <c r="T122" s="13" t="s">
        <v>15</v>
      </c>
      <c r="U122" s="13" t="s">
        <v>16</v>
      </c>
      <c r="V122" s="13" t="s">
        <v>15</v>
      </c>
      <c r="W122" s="13" t="s">
        <v>15</v>
      </c>
      <c r="X122" s="13" t="s">
        <v>15</v>
      </c>
      <c r="Y122" s="13" t="s">
        <v>16</v>
      </c>
      <c r="Z122" s="13" t="s">
        <v>16</v>
      </c>
      <c r="AA122" s="13" t="s">
        <v>15</v>
      </c>
      <c r="AB122" s="13" t="s">
        <v>16</v>
      </c>
      <c r="AC122" s="13" t="s">
        <v>15</v>
      </c>
      <c r="AD122" s="13" t="s">
        <v>7</v>
      </c>
      <c r="AE122" s="13" t="s">
        <v>16</v>
      </c>
      <c r="AF122" s="13" t="s">
        <v>16</v>
      </c>
      <c r="AG122" s="13" t="s">
        <v>15</v>
      </c>
      <c r="AH122" s="13" t="s">
        <v>15</v>
      </c>
      <c r="AI122" s="85" t="s">
        <v>16</v>
      </c>
      <c r="AJ122" s="13" t="s">
        <v>16</v>
      </c>
      <c r="AK122" s="13" t="s">
        <v>15</v>
      </c>
      <c r="AL122" s="13" t="s">
        <v>16</v>
      </c>
      <c r="AM122" s="13" t="s">
        <v>15</v>
      </c>
      <c r="AN122" s="13" t="s">
        <v>16</v>
      </c>
      <c r="AO122" s="13" t="s">
        <v>16</v>
      </c>
      <c r="AP122" s="13" t="s">
        <v>7</v>
      </c>
      <c r="AQ122" s="13" t="s">
        <v>16</v>
      </c>
      <c r="AR122" s="13" t="s">
        <v>15</v>
      </c>
      <c r="AS122" s="13" t="s">
        <v>16</v>
      </c>
      <c r="AT122" s="25" t="s">
        <v>15</v>
      </c>
    </row>
    <row r="123" spans="1:46" ht="12.75" customHeight="1" x14ac:dyDescent="0.3">
      <c r="A123" s="158"/>
      <c r="B123" s="118"/>
      <c r="C123" s="118"/>
      <c r="D123" s="123"/>
      <c r="E123" s="123"/>
      <c r="F123" s="123"/>
      <c r="G123" s="154"/>
      <c r="H123" s="154"/>
      <c r="I123" s="116"/>
      <c r="J123" s="26">
        <v>1</v>
      </c>
      <c r="K123" s="13">
        <v>2</v>
      </c>
      <c r="L123" s="13">
        <v>2</v>
      </c>
      <c r="M123" s="13">
        <v>2</v>
      </c>
      <c r="N123" s="13">
        <v>2</v>
      </c>
      <c r="O123" s="13">
        <v>3</v>
      </c>
      <c r="P123" s="13">
        <v>2</v>
      </c>
      <c r="Q123" s="13">
        <v>3</v>
      </c>
      <c r="R123" s="13">
        <v>2</v>
      </c>
      <c r="S123" s="13">
        <v>1</v>
      </c>
      <c r="T123" s="13">
        <v>2</v>
      </c>
      <c r="U123" s="13">
        <v>2</v>
      </c>
      <c r="V123" s="13">
        <v>1</v>
      </c>
      <c r="W123" s="13">
        <v>2</v>
      </c>
      <c r="X123" s="13">
        <v>3</v>
      </c>
      <c r="Y123" s="13">
        <v>1</v>
      </c>
      <c r="Z123" s="13">
        <v>2</v>
      </c>
      <c r="AA123" s="13">
        <v>1</v>
      </c>
      <c r="AB123" s="13">
        <v>2</v>
      </c>
      <c r="AC123" s="13">
        <v>3</v>
      </c>
      <c r="AD123" s="13">
        <v>2</v>
      </c>
      <c r="AE123" s="13">
        <v>4</v>
      </c>
      <c r="AF123" s="13">
        <v>2</v>
      </c>
      <c r="AG123" s="13">
        <v>4</v>
      </c>
      <c r="AH123" s="13">
        <v>3</v>
      </c>
      <c r="AI123" s="85">
        <v>2</v>
      </c>
      <c r="AJ123" s="13">
        <v>0</v>
      </c>
      <c r="AK123" s="13">
        <v>3</v>
      </c>
      <c r="AL123" s="13">
        <v>0</v>
      </c>
      <c r="AM123" s="13">
        <v>2</v>
      </c>
      <c r="AN123" s="13">
        <v>2</v>
      </c>
      <c r="AO123" s="13">
        <v>2</v>
      </c>
      <c r="AP123" s="13">
        <v>3</v>
      </c>
      <c r="AQ123" s="13">
        <v>2</v>
      </c>
      <c r="AR123" s="13">
        <v>2</v>
      </c>
      <c r="AS123" s="13">
        <v>2</v>
      </c>
      <c r="AT123" s="25">
        <v>2</v>
      </c>
    </row>
    <row r="124" spans="1:46" ht="12.75" customHeight="1" x14ac:dyDescent="0.3">
      <c r="A124" s="158"/>
      <c r="B124" s="117">
        <v>46200</v>
      </c>
      <c r="C124" s="143">
        <v>0.83333333333333337</v>
      </c>
      <c r="D124" s="137" t="s">
        <v>87</v>
      </c>
      <c r="E124" s="122" t="s">
        <v>66</v>
      </c>
      <c r="F124" s="122" t="s">
        <v>65</v>
      </c>
      <c r="G124" s="153">
        <v>1</v>
      </c>
      <c r="H124" s="153">
        <v>3</v>
      </c>
      <c r="I124" s="115" t="str">
        <f t="shared" ref="I124" si="37">IF(G124="","-",IF(G124&gt;H124,"L",IF(G124=H124,"E",IF(G124&lt;H124,"V"))))</f>
        <v>V</v>
      </c>
      <c r="J124" s="27" t="s">
        <v>15</v>
      </c>
      <c r="K124" s="19" t="s">
        <v>15</v>
      </c>
      <c r="L124" s="19" t="s">
        <v>15</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7</v>
      </c>
      <c r="AH124" s="19" t="s">
        <v>7</v>
      </c>
      <c r="AI124" s="87" t="s">
        <v>15</v>
      </c>
      <c r="AJ124" s="19" t="s">
        <v>15</v>
      </c>
      <c r="AK124" s="19" t="s">
        <v>15</v>
      </c>
      <c r="AL124" s="19" t="s">
        <v>15</v>
      </c>
      <c r="AM124" s="19" t="s">
        <v>15</v>
      </c>
      <c r="AN124" s="19" t="s">
        <v>15</v>
      </c>
      <c r="AO124" s="19" t="s">
        <v>15</v>
      </c>
      <c r="AP124" s="19" t="s">
        <v>15</v>
      </c>
      <c r="AQ124" s="19" t="s">
        <v>15</v>
      </c>
      <c r="AR124" s="19" t="s">
        <v>16</v>
      </c>
      <c r="AS124" s="19" t="s">
        <v>15</v>
      </c>
      <c r="AT124" s="28" t="s">
        <v>15</v>
      </c>
    </row>
    <row r="125" spans="1:46" ht="12.75" customHeight="1" x14ac:dyDescent="0.3">
      <c r="A125" s="158"/>
      <c r="B125" s="118"/>
      <c r="C125" s="118"/>
      <c r="D125" s="123"/>
      <c r="E125" s="123"/>
      <c r="F125" s="123"/>
      <c r="G125" s="154"/>
      <c r="H125" s="154"/>
      <c r="I125" s="116"/>
      <c r="J125" s="27">
        <v>4</v>
      </c>
      <c r="K125" s="19">
        <v>3</v>
      </c>
      <c r="L125" s="19">
        <v>2</v>
      </c>
      <c r="M125" s="19">
        <v>3</v>
      </c>
      <c r="N125" s="19">
        <v>3</v>
      </c>
      <c r="O125" s="19">
        <v>3</v>
      </c>
      <c r="P125" s="19">
        <v>3</v>
      </c>
      <c r="Q125" s="19">
        <v>4</v>
      </c>
      <c r="R125" s="19">
        <v>3</v>
      </c>
      <c r="S125" s="19">
        <v>3</v>
      </c>
      <c r="T125" s="19">
        <v>3</v>
      </c>
      <c r="U125" s="19">
        <v>4</v>
      </c>
      <c r="V125" s="19">
        <v>3</v>
      </c>
      <c r="W125" s="19">
        <v>3</v>
      </c>
      <c r="X125" s="19">
        <v>3</v>
      </c>
      <c r="Y125" s="19">
        <v>3</v>
      </c>
      <c r="Z125" s="19">
        <v>4</v>
      </c>
      <c r="AA125" s="19">
        <v>3</v>
      </c>
      <c r="AB125" s="19">
        <v>3</v>
      </c>
      <c r="AC125" s="19">
        <v>3</v>
      </c>
      <c r="AD125" s="19">
        <v>3</v>
      </c>
      <c r="AE125" s="19">
        <v>3</v>
      </c>
      <c r="AF125" s="19">
        <v>3</v>
      </c>
      <c r="AG125" s="19">
        <v>4</v>
      </c>
      <c r="AH125" s="19">
        <v>4</v>
      </c>
      <c r="AI125" s="87">
        <v>3</v>
      </c>
      <c r="AJ125" s="19">
        <v>3</v>
      </c>
      <c r="AK125" s="19">
        <v>4</v>
      </c>
      <c r="AL125" s="19">
        <v>2</v>
      </c>
      <c r="AM125" s="19">
        <v>3</v>
      </c>
      <c r="AN125" s="19">
        <v>3</v>
      </c>
      <c r="AO125" s="19">
        <v>3</v>
      </c>
      <c r="AP125" s="19">
        <v>2</v>
      </c>
      <c r="AQ125" s="19">
        <v>4</v>
      </c>
      <c r="AR125" s="19">
        <v>4</v>
      </c>
      <c r="AS125" s="19">
        <v>2</v>
      </c>
      <c r="AT125" s="28">
        <v>5</v>
      </c>
    </row>
    <row r="126" spans="1:46" ht="12.75" customHeight="1" x14ac:dyDescent="0.3">
      <c r="A126" s="158"/>
      <c r="B126" s="117">
        <v>46200</v>
      </c>
      <c r="C126" s="143">
        <v>0.83333333333333337</v>
      </c>
      <c r="D126" s="137" t="s">
        <v>92</v>
      </c>
      <c r="E126" s="122" t="s">
        <v>67</v>
      </c>
      <c r="F126" s="122" t="s">
        <v>26</v>
      </c>
      <c r="G126" s="153">
        <v>3</v>
      </c>
      <c r="H126" s="153">
        <v>3</v>
      </c>
      <c r="I126" s="115" t="str">
        <f t="shared" ref="I126" si="38">IF(G126="","-",IF(G126&gt;H126,"L",IF(G126=H126,"E",IF(G126&lt;H126,"V"))))</f>
        <v>E</v>
      </c>
      <c r="J126" s="26" t="s">
        <v>16</v>
      </c>
      <c r="K126" s="13" t="s">
        <v>15</v>
      </c>
      <c r="L126" s="13" t="s">
        <v>16</v>
      </c>
      <c r="M126" s="13" t="s">
        <v>16</v>
      </c>
      <c r="N126" s="13" t="s">
        <v>16</v>
      </c>
      <c r="O126" s="13" t="s">
        <v>15</v>
      </c>
      <c r="P126" s="13" t="s">
        <v>16</v>
      </c>
      <c r="Q126" s="13" t="s">
        <v>16</v>
      </c>
      <c r="R126" s="13" t="s">
        <v>16</v>
      </c>
      <c r="S126" s="13" t="s">
        <v>16</v>
      </c>
      <c r="T126" s="13" t="s">
        <v>16</v>
      </c>
      <c r="U126" s="13" t="s">
        <v>16</v>
      </c>
      <c r="V126" s="13" t="s">
        <v>15</v>
      </c>
      <c r="W126" s="13" t="s">
        <v>15</v>
      </c>
      <c r="X126" s="13" t="s">
        <v>16</v>
      </c>
      <c r="Y126" s="13" t="s">
        <v>16</v>
      </c>
      <c r="Z126" s="13" t="s">
        <v>15</v>
      </c>
      <c r="AA126" s="13" t="s">
        <v>16</v>
      </c>
      <c r="AB126" s="13" t="s">
        <v>16</v>
      </c>
      <c r="AC126" s="13" t="s">
        <v>16</v>
      </c>
      <c r="AD126" s="13" t="s">
        <v>7</v>
      </c>
      <c r="AE126" s="13" t="s">
        <v>15</v>
      </c>
      <c r="AF126" s="13" t="s">
        <v>15</v>
      </c>
      <c r="AG126" s="13" t="s">
        <v>15</v>
      </c>
      <c r="AH126" s="13" t="s">
        <v>16</v>
      </c>
      <c r="AI126" s="85" t="s">
        <v>16</v>
      </c>
      <c r="AJ126" s="13" t="s">
        <v>16</v>
      </c>
      <c r="AK126" s="13" t="s">
        <v>16</v>
      </c>
      <c r="AL126" s="13" t="s">
        <v>15</v>
      </c>
      <c r="AM126" s="13" t="s">
        <v>15</v>
      </c>
      <c r="AN126" s="13" t="s">
        <v>7</v>
      </c>
      <c r="AO126" s="13" t="s">
        <v>15</v>
      </c>
      <c r="AP126" s="13" t="s">
        <v>15</v>
      </c>
      <c r="AQ126" s="13" t="s">
        <v>16</v>
      </c>
      <c r="AR126" s="13" t="s">
        <v>7</v>
      </c>
      <c r="AS126" s="13" t="s">
        <v>15</v>
      </c>
      <c r="AT126" s="25" t="s">
        <v>7</v>
      </c>
    </row>
    <row r="127" spans="1:46" ht="12.75" customHeight="1" x14ac:dyDescent="0.3">
      <c r="A127" s="159"/>
      <c r="B127" s="118"/>
      <c r="C127" s="118"/>
      <c r="D127" s="123"/>
      <c r="E127" s="123"/>
      <c r="F127" s="123"/>
      <c r="G127" s="154"/>
      <c r="H127" s="154"/>
      <c r="I127" s="116"/>
      <c r="J127" s="88">
        <v>2</v>
      </c>
      <c r="K127" s="14">
        <v>3</v>
      </c>
      <c r="L127" s="14">
        <v>2</v>
      </c>
      <c r="M127" s="14">
        <v>2</v>
      </c>
      <c r="N127" s="14">
        <v>2</v>
      </c>
      <c r="O127" s="14">
        <v>3</v>
      </c>
      <c r="P127" s="14">
        <v>2</v>
      </c>
      <c r="Q127" s="14">
        <v>2</v>
      </c>
      <c r="R127" s="14">
        <v>2</v>
      </c>
      <c r="S127" s="14">
        <v>2</v>
      </c>
      <c r="T127" s="14">
        <v>2</v>
      </c>
      <c r="U127" s="14">
        <v>2</v>
      </c>
      <c r="V127" s="14">
        <v>1</v>
      </c>
      <c r="W127" s="14">
        <v>2</v>
      </c>
      <c r="X127" s="14">
        <v>2</v>
      </c>
      <c r="Y127" s="14">
        <v>2</v>
      </c>
      <c r="Z127" s="14">
        <v>3</v>
      </c>
      <c r="AA127" s="14">
        <v>2</v>
      </c>
      <c r="AB127" s="14">
        <v>2</v>
      </c>
      <c r="AC127" s="14">
        <v>2</v>
      </c>
      <c r="AD127" s="14">
        <v>3</v>
      </c>
      <c r="AE127" s="14">
        <v>3</v>
      </c>
      <c r="AF127" s="14">
        <v>2</v>
      </c>
      <c r="AG127" s="14">
        <v>2</v>
      </c>
      <c r="AH127" s="14">
        <v>2</v>
      </c>
      <c r="AI127" s="89">
        <v>2</v>
      </c>
      <c r="AJ127" s="14">
        <v>2</v>
      </c>
      <c r="AK127" s="14">
        <v>4</v>
      </c>
      <c r="AL127" s="14">
        <v>1</v>
      </c>
      <c r="AM127" s="14">
        <v>3</v>
      </c>
      <c r="AN127" s="14">
        <v>2</v>
      </c>
      <c r="AO127" s="14">
        <v>1</v>
      </c>
      <c r="AP127" s="14">
        <v>1</v>
      </c>
      <c r="AQ127" s="14">
        <v>2</v>
      </c>
      <c r="AR127" s="14">
        <v>2</v>
      </c>
      <c r="AS127" s="14">
        <v>1</v>
      </c>
      <c r="AT127" s="29">
        <v>2</v>
      </c>
    </row>
    <row r="128" spans="1:46" ht="12.75" customHeight="1" x14ac:dyDescent="0.3">
      <c r="A128" s="133" t="s">
        <v>51</v>
      </c>
      <c r="B128" s="101">
        <v>46190</v>
      </c>
      <c r="C128" s="142">
        <v>0.45833333333333331</v>
      </c>
      <c r="D128" s="136" t="s">
        <v>86</v>
      </c>
      <c r="E128" s="105" t="s">
        <v>17</v>
      </c>
      <c r="F128" s="105" t="s">
        <v>70</v>
      </c>
      <c r="G128" s="155">
        <v>1</v>
      </c>
      <c r="H128" s="155">
        <v>1</v>
      </c>
      <c r="I128" s="107"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83"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34"/>
      <c r="B129" s="102"/>
      <c r="C129" s="102"/>
      <c r="D129" s="106"/>
      <c r="E129" s="106"/>
      <c r="F129" s="106"/>
      <c r="G129" s="156"/>
      <c r="H129" s="156"/>
      <c r="I129" s="108"/>
      <c r="J129" s="23">
        <v>3</v>
      </c>
      <c r="K129" s="18">
        <v>3</v>
      </c>
      <c r="L129" s="18">
        <v>3</v>
      </c>
      <c r="M129" s="18">
        <v>2</v>
      </c>
      <c r="N129" s="18">
        <v>3</v>
      </c>
      <c r="O129" s="18">
        <v>3</v>
      </c>
      <c r="P129" s="18">
        <v>3</v>
      </c>
      <c r="Q129" s="18">
        <v>5</v>
      </c>
      <c r="R129" s="18">
        <v>3</v>
      </c>
      <c r="S129" s="18">
        <v>3</v>
      </c>
      <c r="T129" s="18">
        <v>3</v>
      </c>
      <c r="U129" s="18">
        <v>2</v>
      </c>
      <c r="V129" s="18">
        <v>4</v>
      </c>
      <c r="W129" s="18">
        <v>3</v>
      </c>
      <c r="X129" s="18">
        <v>3</v>
      </c>
      <c r="Y129" s="18">
        <v>3</v>
      </c>
      <c r="Z129" s="18">
        <v>3</v>
      </c>
      <c r="AA129" s="18">
        <v>3</v>
      </c>
      <c r="AB129" s="18">
        <v>4</v>
      </c>
      <c r="AC129" s="18">
        <v>3</v>
      </c>
      <c r="AD129" s="18">
        <v>4</v>
      </c>
      <c r="AE129" s="18">
        <v>3</v>
      </c>
      <c r="AF129" s="18">
        <v>3</v>
      </c>
      <c r="AG129" s="18">
        <v>2</v>
      </c>
      <c r="AH129" s="18">
        <v>2</v>
      </c>
      <c r="AI129" s="83">
        <v>3</v>
      </c>
      <c r="AJ129" s="18">
        <v>2</v>
      </c>
      <c r="AK129" s="18">
        <v>4</v>
      </c>
      <c r="AL129" s="18">
        <v>5</v>
      </c>
      <c r="AM129" s="18">
        <v>2</v>
      </c>
      <c r="AN129" s="18">
        <v>4</v>
      </c>
      <c r="AO129" s="18">
        <v>3</v>
      </c>
      <c r="AP129" s="18">
        <v>4</v>
      </c>
      <c r="AQ129" s="18">
        <v>3</v>
      </c>
      <c r="AR129" s="18">
        <v>3</v>
      </c>
      <c r="AS129" s="18">
        <v>2</v>
      </c>
      <c r="AT129" s="24">
        <v>6</v>
      </c>
    </row>
    <row r="130" spans="1:46" ht="12.75" customHeight="1" x14ac:dyDescent="0.3">
      <c r="A130" s="134"/>
      <c r="B130" s="101">
        <v>46190</v>
      </c>
      <c r="C130" s="142">
        <v>0.83333333333333337</v>
      </c>
      <c r="D130" s="136" t="s">
        <v>88</v>
      </c>
      <c r="E130" s="105" t="s">
        <v>68</v>
      </c>
      <c r="F130" s="105" t="s">
        <v>69</v>
      </c>
      <c r="G130" s="155">
        <v>1</v>
      </c>
      <c r="H130" s="155">
        <v>3</v>
      </c>
      <c r="I130" s="107" t="str">
        <f t="shared" ref="I130" si="39">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85"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34"/>
      <c r="B131" s="102"/>
      <c r="C131" s="102"/>
      <c r="D131" s="106"/>
      <c r="E131" s="106"/>
      <c r="F131" s="106"/>
      <c r="G131" s="156"/>
      <c r="H131" s="156"/>
      <c r="I131" s="108"/>
      <c r="J131" s="26">
        <v>2</v>
      </c>
      <c r="K131" s="13">
        <v>4</v>
      </c>
      <c r="L131" s="13">
        <v>3</v>
      </c>
      <c r="M131" s="13">
        <v>1</v>
      </c>
      <c r="N131" s="13">
        <v>3</v>
      </c>
      <c r="O131" s="13">
        <v>2</v>
      </c>
      <c r="P131" s="13">
        <v>2</v>
      </c>
      <c r="Q131" s="13">
        <v>3</v>
      </c>
      <c r="R131" s="13">
        <v>2</v>
      </c>
      <c r="S131" s="13">
        <v>3</v>
      </c>
      <c r="T131" s="13">
        <v>2</v>
      </c>
      <c r="U131" s="13">
        <v>3</v>
      </c>
      <c r="V131" s="13">
        <v>2</v>
      </c>
      <c r="W131" s="13">
        <v>2</v>
      </c>
      <c r="X131" s="13">
        <v>4</v>
      </c>
      <c r="Y131" s="13">
        <v>3</v>
      </c>
      <c r="Z131" s="13">
        <v>4</v>
      </c>
      <c r="AA131" s="13">
        <v>3</v>
      </c>
      <c r="AB131" s="13">
        <v>3</v>
      </c>
      <c r="AC131" s="13">
        <v>4</v>
      </c>
      <c r="AD131" s="13">
        <v>2</v>
      </c>
      <c r="AE131" s="13">
        <v>4</v>
      </c>
      <c r="AF131" s="13">
        <v>2</v>
      </c>
      <c r="AG131" s="13">
        <v>1</v>
      </c>
      <c r="AH131" s="13">
        <v>3</v>
      </c>
      <c r="AI131" s="85">
        <v>2</v>
      </c>
      <c r="AJ131" s="13">
        <v>3</v>
      </c>
      <c r="AK131" s="13">
        <v>3</v>
      </c>
      <c r="AL131" s="13">
        <v>4</v>
      </c>
      <c r="AM131" s="13">
        <v>2</v>
      </c>
      <c r="AN131" s="13">
        <v>3</v>
      </c>
      <c r="AO131" s="13">
        <v>2</v>
      </c>
      <c r="AP131" s="13">
        <v>3</v>
      </c>
      <c r="AQ131" s="13">
        <v>3</v>
      </c>
      <c r="AR131" s="13">
        <v>2</v>
      </c>
      <c r="AS131" s="13">
        <v>1</v>
      </c>
      <c r="AT131" s="25">
        <v>3</v>
      </c>
    </row>
    <row r="132" spans="1:46" ht="12.75" customHeight="1" x14ac:dyDescent="0.3">
      <c r="A132" s="134"/>
      <c r="B132" s="101">
        <v>46196</v>
      </c>
      <c r="C132" s="142">
        <v>0.45833333333333331</v>
      </c>
      <c r="D132" s="136" t="s">
        <v>86</v>
      </c>
      <c r="E132" s="105" t="s">
        <v>17</v>
      </c>
      <c r="F132" s="105" t="s">
        <v>68</v>
      </c>
      <c r="G132" s="155">
        <v>5</v>
      </c>
      <c r="H132" s="155">
        <v>0</v>
      </c>
      <c r="I132" s="107" t="str">
        <f t="shared" ref="I132" si="40">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83"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34"/>
      <c r="B133" s="102"/>
      <c r="C133" s="102"/>
      <c r="D133" s="106"/>
      <c r="E133" s="106"/>
      <c r="F133" s="106"/>
      <c r="G133" s="156"/>
      <c r="H133" s="156"/>
      <c r="I133" s="108"/>
      <c r="J133" s="23">
        <v>3</v>
      </c>
      <c r="K133" s="18">
        <v>2</v>
      </c>
      <c r="L133" s="18">
        <v>2</v>
      </c>
      <c r="M133" s="18">
        <v>3</v>
      </c>
      <c r="N133" s="18">
        <v>3</v>
      </c>
      <c r="O133" s="18">
        <v>3</v>
      </c>
      <c r="P133" s="18">
        <v>3</v>
      </c>
      <c r="Q133" s="18">
        <v>5</v>
      </c>
      <c r="R133" s="18">
        <v>4</v>
      </c>
      <c r="S133" s="18">
        <v>4</v>
      </c>
      <c r="T133" s="18">
        <v>2</v>
      </c>
      <c r="U133" s="18">
        <v>1</v>
      </c>
      <c r="V133" s="18">
        <v>3</v>
      </c>
      <c r="W133" s="18">
        <v>3</v>
      </c>
      <c r="X133" s="18">
        <v>2</v>
      </c>
      <c r="Y133" s="18">
        <v>2</v>
      </c>
      <c r="Z133" s="18">
        <v>3</v>
      </c>
      <c r="AA133" s="18">
        <v>4</v>
      </c>
      <c r="AB133" s="18">
        <v>3</v>
      </c>
      <c r="AC133" s="18">
        <v>2</v>
      </c>
      <c r="AD133" s="18">
        <v>4</v>
      </c>
      <c r="AE133" s="18">
        <v>4</v>
      </c>
      <c r="AF133" s="18">
        <v>3</v>
      </c>
      <c r="AG133" s="18">
        <v>4</v>
      </c>
      <c r="AH133" s="18">
        <v>4</v>
      </c>
      <c r="AI133" s="83">
        <v>3</v>
      </c>
      <c r="AJ133" s="18">
        <v>2</v>
      </c>
      <c r="AK133" s="18">
        <v>3</v>
      </c>
      <c r="AL133" s="18">
        <v>3</v>
      </c>
      <c r="AM133" s="18">
        <v>5</v>
      </c>
      <c r="AN133" s="18">
        <v>4</v>
      </c>
      <c r="AO133" s="18">
        <v>3</v>
      </c>
      <c r="AP133" s="18">
        <v>3</v>
      </c>
      <c r="AQ133" s="18">
        <v>2</v>
      </c>
      <c r="AR133" s="18">
        <v>4</v>
      </c>
      <c r="AS133" s="18">
        <v>2</v>
      </c>
      <c r="AT133" s="24">
        <v>4</v>
      </c>
    </row>
    <row r="134" spans="1:46" ht="12.75" customHeight="1" x14ac:dyDescent="0.3">
      <c r="A134" s="134"/>
      <c r="B134" s="101">
        <v>46196</v>
      </c>
      <c r="C134" s="142">
        <v>0.83333333333333337</v>
      </c>
      <c r="D134" s="136" t="s">
        <v>104</v>
      </c>
      <c r="E134" s="105" t="s">
        <v>69</v>
      </c>
      <c r="F134" s="105" t="s">
        <v>70</v>
      </c>
      <c r="G134" s="155">
        <v>1</v>
      </c>
      <c r="H134" s="155">
        <v>0</v>
      </c>
      <c r="I134" s="107" t="str">
        <f t="shared" ref="I134" si="41">IF(G134="","-",IF(G134&gt;H134,"L",IF(G134=H134,"E",IF(G134&lt;H134,"V"))))</f>
        <v>L</v>
      </c>
      <c r="J134" s="26" t="s">
        <v>7</v>
      </c>
      <c r="K134" s="13" t="s">
        <v>7</v>
      </c>
      <c r="L134" s="13" t="s">
        <v>7</v>
      </c>
      <c r="M134" s="13" t="s">
        <v>7</v>
      </c>
      <c r="N134" s="13" t="s">
        <v>7</v>
      </c>
      <c r="O134" s="13" t="s">
        <v>7</v>
      </c>
      <c r="P134" s="13" t="s">
        <v>7</v>
      </c>
      <c r="Q134" s="13" t="s">
        <v>7</v>
      </c>
      <c r="R134" s="13" t="s">
        <v>16</v>
      </c>
      <c r="S134" s="13" t="s">
        <v>7</v>
      </c>
      <c r="T134" s="13" t="s">
        <v>7</v>
      </c>
      <c r="U134" s="13" t="s">
        <v>7</v>
      </c>
      <c r="V134" s="13" t="s">
        <v>7</v>
      </c>
      <c r="W134" s="13" t="s">
        <v>15</v>
      </c>
      <c r="X134" s="13" t="s">
        <v>7</v>
      </c>
      <c r="Y134" s="13" t="s">
        <v>7</v>
      </c>
      <c r="Z134" s="13" t="s">
        <v>7</v>
      </c>
      <c r="AA134" s="13" t="s">
        <v>7</v>
      </c>
      <c r="AB134" s="13" t="s">
        <v>7</v>
      </c>
      <c r="AC134" s="13" t="s">
        <v>7</v>
      </c>
      <c r="AD134" s="13" t="s">
        <v>7</v>
      </c>
      <c r="AE134" s="13" t="s">
        <v>7</v>
      </c>
      <c r="AF134" s="13" t="s">
        <v>7</v>
      </c>
      <c r="AG134" s="13" t="s">
        <v>16</v>
      </c>
      <c r="AH134" s="13" t="s">
        <v>7</v>
      </c>
      <c r="AI134" s="85" t="s">
        <v>7</v>
      </c>
      <c r="AJ134" s="13" t="s">
        <v>7</v>
      </c>
      <c r="AK134" s="13" t="s">
        <v>7</v>
      </c>
      <c r="AL134" s="13" t="s">
        <v>7</v>
      </c>
      <c r="AM134" s="13" t="s">
        <v>7</v>
      </c>
      <c r="AN134" s="13" t="s">
        <v>7</v>
      </c>
      <c r="AO134" s="13" t="s">
        <v>7</v>
      </c>
      <c r="AP134" s="13" t="s">
        <v>7</v>
      </c>
      <c r="AQ134" s="13" t="s">
        <v>16</v>
      </c>
      <c r="AR134" s="13" t="s">
        <v>7</v>
      </c>
      <c r="AS134" s="13" t="s">
        <v>15</v>
      </c>
      <c r="AT134" s="25" t="s">
        <v>7</v>
      </c>
    </row>
    <row r="135" spans="1:46" ht="12.75" customHeight="1" x14ac:dyDescent="0.3">
      <c r="A135" s="134"/>
      <c r="B135" s="102"/>
      <c r="C135" s="102"/>
      <c r="D135" s="106"/>
      <c r="E135" s="106"/>
      <c r="F135" s="106"/>
      <c r="G135" s="156"/>
      <c r="H135" s="156"/>
      <c r="I135" s="108"/>
      <c r="J135" s="26">
        <v>2</v>
      </c>
      <c r="K135" s="13">
        <v>2</v>
      </c>
      <c r="L135" s="13">
        <v>2</v>
      </c>
      <c r="M135" s="13">
        <v>1</v>
      </c>
      <c r="N135" s="13">
        <v>3</v>
      </c>
      <c r="O135" s="13">
        <v>4</v>
      </c>
      <c r="P135" s="13">
        <v>2</v>
      </c>
      <c r="Q135" s="13">
        <v>3</v>
      </c>
      <c r="R135" s="13">
        <v>4</v>
      </c>
      <c r="S135" s="13">
        <v>3</v>
      </c>
      <c r="T135" s="13">
        <v>2</v>
      </c>
      <c r="U135" s="13">
        <v>2</v>
      </c>
      <c r="V135" s="13">
        <v>3</v>
      </c>
      <c r="W135" s="13">
        <v>3</v>
      </c>
      <c r="X135" s="13">
        <v>1</v>
      </c>
      <c r="Y135" s="13">
        <v>2</v>
      </c>
      <c r="Z135" s="13">
        <v>3</v>
      </c>
      <c r="AA135" s="13">
        <v>2</v>
      </c>
      <c r="AB135" s="13">
        <v>3</v>
      </c>
      <c r="AC135" s="13">
        <v>1</v>
      </c>
      <c r="AD135" s="13">
        <v>3</v>
      </c>
      <c r="AE135" s="13">
        <v>3</v>
      </c>
      <c r="AF135" s="13">
        <v>3</v>
      </c>
      <c r="AG135" s="13">
        <v>0</v>
      </c>
      <c r="AH135" s="13">
        <v>3</v>
      </c>
      <c r="AI135" s="85">
        <v>2</v>
      </c>
      <c r="AJ135" s="13">
        <v>1</v>
      </c>
      <c r="AK135" s="13">
        <v>3</v>
      </c>
      <c r="AL135" s="13">
        <v>2</v>
      </c>
      <c r="AM135" s="13">
        <v>4</v>
      </c>
      <c r="AN135" s="13">
        <v>3</v>
      </c>
      <c r="AO135" s="13">
        <v>2</v>
      </c>
      <c r="AP135" s="13">
        <v>2</v>
      </c>
      <c r="AQ135" s="13">
        <v>2</v>
      </c>
      <c r="AR135" s="13">
        <v>3</v>
      </c>
      <c r="AS135" s="13">
        <v>1</v>
      </c>
      <c r="AT135" s="25">
        <v>2</v>
      </c>
    </row>
    <row r="136" spans="1:46" ht="12.75" customHeight="1" x14ac:dyDescent="0.3">
      <c r="A136" s="134"/>
      <c r="B136" s="101">
        <v>46200</v>
      </c>
      <c r="C136" s="142">
        <v>0.72916666666666663</v>
      </c>
      <c r="D136" s="136" t="s">
        <v>90</v>
      </c>
      <c r="E136" s="105" t="s">
        <v>69</v>
      </c>
      <c r="F136" s="105" t="s">
        <v>17</v>
      </c>
      <c r="G136" s="155">
        <v>0</v>
      </c>
      <c r="H136" s="155">
        <v>0</v>
      </c>
      <c r="I136" s="107" t="str">
        <f t="shared" ref="I136" si="42">IF(G136="","-",IF(G136&gt;H136,"L",IF(G136=H136,"E",IF(G136&lt;H136,"V"))))</f>
        <v>E</v>
      </c>
      <c r="J136" s="23" t="s">
        <v>16</v>
      </c>
      <c r="K136" s="18" t="s">
        <v>16</v>
      </c>
      <c r="L136" s="18" t="s">
        <v>16</v>
      </c>
      <c r="M136" s="18" t="s">
        <v>16</v>
      </c>
      <c r="N136" s="18" t="s">
        <v>16</v>
      </c>
      <c r="O136" s="18" t="s">
        <v>16</v>
      </c>
      <c r="P136" s="18" t="s">
        <v>16</v>
      </c>
      <c r="Q136" s="18" t="s">
        <v>15</v>
      </c>
      <c r="R136" s="18" t="s">
        <v>16</v>
      </c>
      <c r="S136" s="18" t="s">
        <v>16</v>
      </c>
      <c r="T136" s="18" t="s">
        <v>15</v>
      </c>
      <c r="U136" s="18" t="s">
        <v>16</v>
      </c>
      <c r="V136" s="18" t="s">
        <v>15</v>
      </c>
      <c r="W136" s="18" t="s">
        <v>15</v>
      </c>
      <c r="X136" s="18" t="s">
        <v>16</v>
      </c>
      <c r="Y136" s="18" t="s">
        <v>15</v>
      </c>
      <c r="Z136" s="18" t="s">
        <v>16</v>
      </c>
      <c r="AA136" s="18" t="s">
        <v>7</v>
      </c>
      <c r="AB136" s="18" t="s">
        <v>16</v>
      </c>
      <c r="AC136" s="18" t="s">
        <v>16</v>
      </c>
      <c r="AD136" s="18" t="s">
        <v>15</v>
      </c>
      <c r="AE136" s="18" t="s">
        <v>16</v>
      </c>
      <c r="AF136" s="18" t="s">
        <v>15</v>
      </c>
      <c r="AG136" s="18" t="s">
        <v>15</v>
      </c>
      <c r="AH136" s="18" t="s">
        <v>16</v>
      </c>
      <c r="AI136" s="83" t="s">
        <v>16</v>
      </c>
      <c r="AJ136" s="18" t="s">
        <v>15</v>
      </c>
      <c r="AK136" s="18" t="s">
        <v>15</v>
      </c>
      <c r="AL136" s="18" t="s">
        <v>16</v>
      </c>
      <c r="AM136" s="18" t="s">
        <v>16</v>
      </c>
      <c r="AN136" s="18" t="s">
        <v>16</v>
      </c>
      <c r="AO136" s="18" t="s">
        <v>15</v>
      </c>
      <c r="AP136" s="18" t="s">
        <v>15</v>
      </c>
      <c r="AQ136" s="18" t="s">
        <v>15</v>
      </c>
      <c r="AR136" s="18" t="s">
        <v>15</v>
      </c>
      <c r="AS136" s="18" t="s">
        <v>15</v>
      </c>
      <c r="AT136" s="24" t="s">
        <v>15</v>
      </c>
    </row>
    <row r="137" spans="1:46" ht="12.75" customHeight="1" x14ac:dyDescent="0.3">
      <c r="A137" s="134"/>
      <c r="B137" s="102"/>
      <c r="C137" s="102"/>
      <c r="D137" s="106"/>
      <c r="E137" s="106"/>
      <c r="F137" s="106"/>
      <c r="G137" s="156"/>
      <c r="H137" s="156"/>
      <c r="I137" s="108"/>
      <c r="J137" s="23">
        <v>4</v>
      </c>
      <c r="K137" s="18">
        <v>4</v>
      </c>
      <c r="L137" s="18">
        <v>2</v>
      </c>
      <c r="M137" s="18">
        <v>4</v>
      </c>
      <c r="N137" s="18">
        <v>4</v>
      </c>
      <c r="O137" s="18">
        <v>2</v>
      </c>
      <c r="P137" s="18">
        <v>2</v>
      </c>
      <c r="Q137" s="18">
        <v>5</v>
      </c>
      <c r="R137" s="18">
        <v>4</v>
      </c>
      <c r="S137" s="18">
        <v>4</v>
      </c>
      <c r="T137" s="18">
        <v>3</v>
      </c>
      <c r="U137" s="18">
        <v>2</v>
      </c>
      <c r="V137" s="18">
        <v>3</v>
      </c>
      <c r="W137" s="18">
        <v>3</v>
      </c>
      <c r="X137" s="18">
        <v>2</v>
      </c>
      <c r="Y137" s="18">
        <v>2</v>
      </c>
      <c r="Z137" s="18">
        <v>4</v>
      </c>
      <c r="AA137" s="18">
        <v>3</v>
      </c>
      <c r="AB137" s="18">
        <v>2</v>
      </c>
      <c r="AC137" s="18">
        <v>2</v>
      </c>
      <c r="AD137" s="18">
        <v>3</v>
      </c>
      <c r="AE137" s="18">
        <v>4</v>
      </c>
      <c r="AF137" s="18">
        <v>3</v>
      </c>
      <c r="AG137" s="18">
        <v>3</v>
      </c>
      <c r="AH137" s="18">
        <v>2</v>
      </c>
      <c r="AI137" s="83">
        <v>2</v>
      </c>
      <c r="AJ137" s="18">
        <v>3</v>
      </c>
      <c r="AK137" s="18">
        <v>3</v>
      </c>
      <c r="AL137" s="18">
        <v>4</v>
      </c>
      <c r="AM137" s="18">
        <v>4</v>
      </c>
      <c r="AN137" s="18">
        <v>4</v>
      </c>
      <c r="AO137" s="18">
        <v>2</v>
      </c>
      <c r="AP137" s="18">
        <v>3</v>
      </c>
      <c r="AQ137" s="18">
        <v>4</v>
      </c>
      <c r="AR137" s="18">
        <v>1</v>
      </c>
      <c r="AS137" s="18">
        <v>3</v>
      </c>
      <c r="AT137" s="24">
        <v>3</v>
      </c>
    </row>
    <row r="138" spans="1:46" ht="12.75" customHeight="1" x14ac:dyDescent="0.3">
      <c r="A138" s="134"/>
      <c r="B138" s="101">
        <v>46200</v>
      </c>
      <c r="C138" s="142">
        <v>0.72916666666666663</v>
      </c>
      <c r="D138" s="136" t="s">
        <v>89</v>
      </c>
      <c r="E138" s="105" t="s">
        <v>70</v>
      </c>
      <c r="F138" s="105" t="s">
        <v>68</v>
      </c>
      <c r="G138" s="155">
        <v>3</v>
      </c>
      <c r="H138" s="155">
        <v>1</v>
      </c>
      <c r="I138" s="107" t="str">
        <f t="shared" ref="I138" si="43">IF(G138="","-",IF(G138&gt;H138,"L",IF(G138=H138,"E",IF(G138&lt;H138,"V"))))</f>
        <v>L</v>
      </c>
      <c r="J138" s="26" t="s">
        <v>16</v>
      </c>
      <c r="K138" s="13" t="s">
        <v>16</v>
      </c>
      <c r="L138" s="13" t="s">
        <v>15</v>
      </c>
      <c r="M138" s="13" t="s">
        <v>15</v>
      </c>
      <c r="N138" s="13" t="s">
        <v>15</v>
      </c>
      <c r="O138" s="13" t="s">
        <v>7</v>
      </c>
      <c r="P138" s="13" t="s">
        <v>16</v>
      </c>
      <c r="Q138" s="13" t="s">
        <v>15</v>
      </c>
      <c r="R138" s="13" t="s">
        <v>7</v>
      </c>
      <c r="S138" s="13" t="s">
        <v>7</v>
      </c>
      <c r="T138" s="13" t="s">
        <v>16</v>
      </c>
      <c r="U138" s="13" t="s">
        <v>7</v>
      </c>
      <c r="V138" s="13" t="s">
        <v>7</v>
      </c>
      <c r="W138" s="13" t="s">
        <v>7</v>
      </c>
      <c r="X138" s="13" t="s">
        <v>16</v>
      </c>
      <c r="Y138" s="13" t="s">
        <v>7</v>
      </c>
      <c r="Z138" s="13" t="s">
        <v>7</v>
      </c>
      <c r="AA138" s="13" t="s">
        <v>16</v>
      </c>
      <c r="AB138" s="13" t="s">
        <v>7</v>
      </c>
      <c r="AC138" s="13" t="s">
        <v>16</v>
      </c>
      <c r="AD138" s="13" t="s">
        <v>15</v>
      </c>
      <c r="AE138" s="13" t="s">
        <v>7</v>
      </c>
      <c r="AF138" s="13" t="s">
        <v>16</v>
      </c>
      <c r="AG138" s="13" t="s">
        <v>15</v>
      </c>
      <c r="AH138" s="13" t="s">
        <v>7</v>
      </c>
      <c r="AI138" s="85" t="s">
        <v>16</v>
      </c>
      <c r="AJ138" s="13" t="s">
        <v>7</v>
      </c>
      <c r="AK138" s="13" t="s">
        <v>16</v>
      </c>
      <c r="AL138" s="13" t="s">
        <v>15</v>
      </c>
      <c r="AM138" s="13" t="s">
        <v>15</v>
      </c>
      <c r="AN138" s="13" t="s">
        <v>16</v>
      </c>
      <c r="AO138" s="13" t="s">
        <v>15</v>
      </c>
      <c r="AP138" s="13" t="s">
        <v>7</v>
      </c>
      <c r="AQ138" s="13" t="s">
        <v>16</v>
      </c>
      <c r="AR138" s="13" t="s">
        <v>7</v>
      </c>
      <c r="AS138" s="13" t="s">
        <v>15</v>
      </c>
      <c r="AT138" s="25" t="s">
        <v>7</v>
      </c>
    </row>
    <row r="139" spans="1:46" ht="12.75" customHeight="1" x14ac:dyDescent="0.3">
      <c r="A139" s="135"/>
      <c r="B139" s="102"/>
      <c r="C139" s="102"/>
      <c r="D139" s="106"/>
      <c r="E139" s="106"/>
      <c r="F139" s="106"/>
      <c r="G139" s="156"/>
      <c r="H139" s="156"/>
      <c r="I139" s="108"/>
      <c r="J139" s="26">
        <v>2</v>
      </c>
      <c r="K139" s="13">
        <v>2</v>
      </c>
      <c r="L139" s="13">
        <v>2</v>
      </c>
      <c r="M139" s="13">
        <v>3</v>
      </c>
      <c r="N139" s="13">
        <v>1</v>
      </c>
      <c r="O139" s="13">
        <v>3</v>
      </c>
      <c r="P139" s="13">
        <v>2</v>
      </c>
      <c r="Q139" s="13">
        <v>2</v>
      </c>
      <c r="R139" s="13">
        <v>2</v>
      </c>
      <c r="S139" s="13">
        <v>2</v>
      </c>
      <c r="T139" s="13">
        <v>2</v>
      </c>
      <c r="U139" s="13">
        <v>3</v>
      </c>
      <c r="V139" s="13">
        <v>1</v>
      </c>
      <c r="W139" s="13">
        <v>2</v>
      </c>
      <c r="X139" s="13">
        <v>2</v>
      </c>
      <c r="Y139" s="13">
        <v>2</v>
      </c>
      <c r="Z139" s="13">
        <v>3</v>
      </c>
      <c r="AA139" s="13">
        <v>2</v>
      </c>
      <c r="AB139" s="13">
        <v>2</v>
      </c>
      <c r="AC139" s="13">
        <v>2</v>
      </c>
      <c r="AD139" s="13">
        <v>2</v>
      </c>
      <c r="AE139" s="13">
        <v>3</v>
      </c>
      <c r="AF139" s="13">
        <v>2</v>
      </c>
      <c r="AG139" s="13">
        <v>1</v>
      </c>
      <c r="AH139" s="13">
        <v>4</v>
      </c>
      <c r="AI139" s="85">
        <v>2</v>
      </c>
      <c r="AJ139" s="13">
        <v>2</v>
      </c>
      <c r="AK139" s="13">
        <v>2</v>
      </c>
      <c r="AL139" s="13">
        <v>3</v>
      </c>
      <c r="AM139" s="13">
        <v>1</v>
      </c>
      <c r="AN139" s="13">
        <v>0</v>
      </c>
      <c r="AO139" s="13">
        <v>1</v>
      </c>
      <c r="AP139" s="13">
        <v>2</v>
      </c>
      <c r="AQ139" s="13">
        <v>2</v>
      </c>
      <c r="AR139" s="13">
        <v>1</v>
      </c>
      <c r="AS139" s="13">
        <v>3</v>
      </c>
      <c r="AT139" s="25">
        <v>2</v>
      </c>
    </row>
    <row r="140" spans="1:46" ht="12.75" customHeight="1" x14ac:dyDescent="0.3">
      <c r="A140" s="157" t="s">
        <v>7</v>
      </c>
      <c r="B140" s="117">
        <v>46190</v>
      </c>
      <c r="C140" s="143">
        <v>0.58333333333333337</v>
      </c>
      <c r="D140" s="137" t="s">
        <v>87</v>
      </c>
      <c r="E140" s="122" t="s">
        <v>24</v>
      </c>
      <c r="F140" s="122" t="s">
        <v>20</v>
      </c>
      <c r="G140" s="153">
        <v>4</v>
      </c>
      <c r="H140" s="153">
        <v>2</v>
      </c>
      <c r="I140" s="115" t="str">
        <f t="shared" ref="I140" si="44">IF(G140="","-",IF(G140&gt;H140,"L",IF(G140=H140,"E",IF(G140&lt;H140,"V"))))</f>
        <v>L</v>
      </c>
      <c r="J140" s="27" t="s">
        <v>7</v>
      </c>
      <c r="K140" s="19" t="s">
        <v>7</v>
      </c>
      <c r="L140" s="19" t="s">
        <v>7</v>
      </c>
      <c r="M140" s="19" t="s">
        <v>7</v>
      </c>
      <c r="N140" s="19" t="s">
        <v>7</v>
      </c>
      <c r="O140" s="19" t="s">
        <v>7</v>
      </c>
      <c r="P140" s="19" t="s">
        <v>16</v>
      </c>
      <c r="Q140" s="19" t="s">
        <v>7</v>
      </c>
      <c r="R140" s="19" t="s">
        <v>7</v>
      </c>
      <c r="S140" s="19" t="s">
        <v>16</v>
      </c>
      <c r="T140" s="19" t="s">
        <v>16</v>
      </c>
      <c r="U140" s="19" t="s">
        <v>7</v>
      </c>
      <c r="V140" s="19" t="s">
        <v>16</v>
      </c>
      <c r="W140" s="19" t="s">
        <v>7</v>
      </c>
      <c r="X140" s="19" t="s">
        <v>7</v>
      </c>
      <c r="Y140" s="19" t="s">
        <v>7</v>
      </c>
      <c r="Z140" s="19" t="s">
        <v>7</v>
      </c>
      <c r="AA140" s="19" t="s">
        <v>7</v>
      </c>
      <c r="AB140" s="19" t="s">
        <v>7</v>
      </c>
      <c r="AC140" s="19" t="s">
        <v>7</v>
      </c>
      <c r="AD140" s="19" t="s">
        <v>7</v>
      </c>
      <c r="AE140" s="19" t="s">
        <v>16</v>
      </c>
      <c r="AF140" s="19" t="s">
        <v>16</v>
      </c>
      <c r="AG140" s="19" t="s">
        <v>7</v>
      </c>
      <c r="AH140" s="19" t="s">
        <v>16</v>
      </c>
      <c r="AI140" s="87" t="s">
        <v>7</v>
      </c>
      <c r="AJ140" s="19" t="s">
        <v>7</v>
      </c>
      <c r="AK140" s="19" t="s">
        <v>7</v>
      </c>
      <c r="AL140" s="19" t="s">
        <v>7</v>
      </c>
      <c r="AM140" s="19" t="s">
        <v>7</v>
      </c>
      <c r="AN140" s="19" t="s">
        <v>15</v>
      </c>
      <c r="AO140" s="19" t="s">
        <v>16</v>
      </c>
      <c r="AP140" s="19" t="s">
        <v>7</v>
      </c>
      <c r="AQ140" s="19" t="s">
        <v>7</v>
      </c>
      <c r="AR140" s="19" t="s">
        <v>16</v>
      </c>
      <c r="AS140" s="19" t="s">
        <v>16</v>
      </c>
      <c r="AT140" s="28" t="s">
        <v>15</v>
      </c>
    </row>
    <row r="141" spans="1:46" ht="12.75" customHeight="1" x14ac:dyDescent="0.3">
      <c r="A141" s="158"/>
      <c r="B141" s="118"/>
      <c r="C141" s="118"/>
      <c r="D141" s="123"/>
      <c r="E141" s="123"/>
      <c r="F141" s="123"/>
      <c r="G141" s="154"/>
      <c r="H141" s="154"/>
      <c r="I141" s="116"/>
      <c r="J141" s="27">
        <v>3</v>
      </c>
      <c r="K141" s="19">
        <v>3</v>
      </c>
      <c r="L141" s="19">
        <v>3</v>
      </c>
      <c r="M141" s="19">
        <v>3</v>
      </c>
      <c r="N141" s="19">
        <v>3</v>
      </c>
      <c r="O141" s="19">
        <v>3</v>
      </c>
      <c r="P141" s="19">
        <v>2</v>
      </c>
      <c r="Q141" s="19">
        <v>3</v>
      </c>
      <c r="R141" s="19">
        <v>3</v>
      </c>
      <c r="S141" s="19">
        <v>2</v>
      </c>
      <c r="T141" s="19">
        <v>2</v>
      </c>
      <c r="U141" s="19">
        <v>3</v>
      </c>
      <c r="V141" s="19">
        <v>2</v>
      </c>
      <c r="W141" s="19">
        <v>2</v>
      </c>
      <c r="X141" s="19">
        <v>1</v>
      </c>
      <c r="Y141" s="19">
        <v>2</v>
      </c>
      <c r="Z141" s="19">
        <v>3</v>
      </c>
      <c r="AA141" s="19">
        <v>3</v>
      </c>
      <c r="AB141" s="19">
        <v>3</v>
      </c>
      <c r="AC141" s="19">
        <v>1</v>
      </c>
      <c r="AD141" s="19">
        <v>3</v>
      </c>
      <c r="AE141" s="19">
        <v>4</v>
      </c>
      <c r="AF141" s="19">
        <v>4</v>
      </c>
      <c r="AG141" s="19">
        <v>2</v>
      </c>
      <c r="AH141" s="19">
        <v>2</v>
      </c>
      <c r="AI141" s="87">
        <v>2</v>
      </c>
      <c r="AJ141" s="19">
        <v>1</v>
      </c>
      <c r="AK141" s="19">
        <v>2</v>
      </c>
      <c r="AL141" s="19">
        <v>3</v>
      </c>
      <c r="AM141" s="19">
        <v>5</v>
      </c>
      <c r="AN141" s="19">
        <v>3</v>
      </c>
      <c r="AO141" s="19">
        <v>2</v>
      </c>
      <c r="AP141" s="19">
        <v>2</v>
      </c>
      <c r="AQ141" s="19">
        <v>3</v>
      </c>
      <c r="AR141" s="19">
        <v>4</v>
      </c>
      <c r="AS141" s="19">
        <v>2</v>
      </c>
      <c r="AT141" s="28">
        <v>2</v>
      </c>
    </row>
    <row r="142" spans="1:46" ht="12.75" customHeight="1" x14ac:dyDescent="0.3">
      <c r="A142" s="158"/>
      <c r="B142" s="117">
        <v>46190</v>
      </c>
      <c r="C142" s="143">
        <v>0.70833333333333337</v>
      </c>
      <c r="D142" s="137" t="s">
        <v>83</v>
      </c>
      <c r="E142" s="122" t="s">
        <v>71</v>
      </c>
      <c r="F142" s="122" t="s">
        <v>72</v>
      </c>
      <c r="G142" s="153">
        <v>1</v>
      </c>
      <c r="H142" s="153">
        <v>0</v>
      </c>
      <c r="I142" s="115" t="str">
        <f t="shared" ref="I142" si="45">IF(G142="","-",IF(G142&gt;H142,"L",IF(G142=H142,"E",IF(G142&lt;H142,"V"))))</f>
        <v>L</v>
      </c>
      <c r="J142" s="26" t="s">
        <v>7</v>
      </c>
      <c r="K142" s="13" t="s">
        <v>7</v>
      </c>
      <c r="L142" s="13" t="s">
        <v>7</v>
      </c>
      <c r="M142" s="13" t="s">
        <v>7</v>
      </c>
      <c r="N142" s="13" t="s">
        <v>7</v>
      </c>
      <c r="O142" s="13" t="s">
        <v>7</v>
      </c>
      <c r="P142" s="13" t="s">
        <v>16</v>
      </c>
      <c r="Q142" s="13" t="s">
        <v>7</v>
      </c>
      <c r="R142" s="13" t="s">
        <v>7</v>
      </c>
      <c r="S142" s="13" t="s">
        <v>7</v>
      </c>
      <c r="T142" s="13" t="s">
        <v>7</v>
      </c>
      <c r="U142" s="13" t="s">
        <v>16</v>
      </c>
      <c r="V142" s="13" t="s">
        <v>16</v>
      </c>
      <c r="W142" s="13" t="s">
        <v>7</v>
      </c>
      <c r="X142" s="13" t="s">
        <v>7</v>
      </c>
      <c r="Y142" s="13" t="s">
        <v>16</v>
      </c>
      <c r="Z142" s="13" t="s">
        <v>15</v>
      </c>
      <c r="AA142" s="13" t="s">
        <v>16</v>
      </c>
      <c r="AB142" s="13" t="s">
        <v>7</v>
      </c>
      <c r="AC142" s="13" t="s">
        <v>7</v>
      </c>
      <c r="AD142" s="13" t="s">
        <v>7</v>
      </c>
      <c r="AE142" s="13" t="s">
        <v>15</v>
      </c>
      <c r="AF142" s="13" t="s">
        <v>7</v>
      </c>
      <c r="AG142" s="13" t="s">
        <v>16</v>
      </c>
      <c r="AH142" s="13" t="s">
        <v>7</v>
      </c>
      <c r="AI142" s="85" t="s">
        <v>7</v>
      </c>
      <c r="AJ142" s="13" t="s">
        <v>16</v>
      </c>
      <c r="AK142" s="13" t="s">
        <v>7</v>
      </c>
      <c r="AL142" s="13" t="s">
        <v>7</v>
      </c>
      <c r="AM142" s="13" t="s">
        <v>7</v>
      </c>
      <c r="AN142" s="13" t="s">
        <v>7</v>
      </c>
      <c r="AO142" s="13" t="s">
        <v>7</v>
      </c>
      <c r="AP142" s="13" t="s">
        <v>7</v>
      </c>
      <c r="AQ142" s="13" t="s">
        <v>7</v>
      </c>
      <c r="AR142" s="13" t="s">
        <v>7</v>
      </c>
      <c r="AS142" s="13" t="s">
        <v>16</v>
      </c>
      <c r="AT142" s="25" t="s">
        <v>15</v>
      </c>
    </row>
    <row r="143" spans="1:46" ht="12.75" customHeight="1" x14ac:dyDescent="0.3">
      <c r="A143" s="158"/>
      <c r="B143" s="118"/>
      <c r="C143" s="118"/>
      <c r="D143" s="123"/>
      <c r="E143" s="123"/>
      <c r="F143" s="123"/>
      <c r="G143" s="154"/>
      <c r="H143" s="154"/>
      <c r="I143" s="116"/>
      <c r="J143" s="26">
        <v>2</v>
      </c>
      <c r="K143" s="13">
        <v>1</v>
      </c>
      <c r="L143" s="13">
        <v>3</v>
      </c>
      <c r="M143" s="13">
        <v>1</v>
      </c>
      <c r="N143" s="13">
        <v>3</v>
      </c>
      <c r="O143" s="13">
        <v>2</v>
      </c>
      <c r="P143" s="13">
        <v>2</v>
      </c>
      <c r="Q143" s="13">
        <v>3</v>
      </c>
      <c r="R143" s="13">
        <v>1</v>
      </c>
      <c r="S143" s="13">
        <v>2</v>
      </c>
      <c r="T143" s="13">
        <v>1</v>
      </c>
      <c r="U143" s="13">
        <v>2</v>
      </c>
      <c r="V143" s="13">
        <v>0</v>
      </c>
      <c r="W143" s="13">
        <v>3</v>
      </c>
      <c r="X143" s="13">
        <v>1</v>
      </c>
      <c r="Y143" s="13">
        <v>2</v>
      </c>
      <c r="Z143" s="13">
        <v>1</v>
      </c>
      <c r="AA143" s="13">
        <v>2</v>
      </c>
      <c r="AB143" s="13">
        <v>2</v>
      </c>
      <c r="AC143" s="13">
        <v>1</v>
      </c>
      <c r="AD143" s="13">
        <v>3</v>
      </c>
      <c r="AE143" s="13">
        <v>3</v>
      </c>
      <c r="AF143" s="13">
        <v>3</v>
      </c>
      <c r="AG143" s="13">
        <v>2</v>
      </c>
      <c r="AH143" s="13">
        <v>3</v>
      </c>
      <c r="AI143" s="85">
        <v>2</v>
      </c>
      <c r="AJ143" s="13">
        <v>2</v>
      </c>
      <c r="AK143" s="13">
        <v>3</v>
      </c>
      <c r="AL143" s="13">
        <v>2</v>
      </c>
      <c r="AM143" s="13">
        <v>3</v>
      </c>
      <c r="AN143" s="13">
        <v>3</v>
      </c>
      <c r="AO143" s="13">
        <v>2</v>
      </c>
      <c r="AP143" s="13">
        <v>2</v>
      </c>
      <c r="AQ143" s="13">
        <v>3</v>
      </c>
      <c r="AR143" s="13">
        <v>3</v>
      </c>
      <c r="AS143" s="13">
        <v>2</v>
      </c>
      <c r="AT143" s="25">
        <v>2</v>
      </c>
    </row>
    <row r="144" spans="1:46" ht="12.75" customHeight="1" x14ac:dyDescent="0.3">
      <c r="A144" s="158"/>
      <c r="B144" s="117">
        <v>46196</v>
      </c>
      <c r="C144" s="143">
        <v>0.58333333333333337</v>
      </c>
      <c r="D144" s="137" t="s">
        <v>79</v>
      </c>
      <c r="E144" s="122" t="s">
        <v>24</v>
      </c>
      <c r="F144" s="122" t="s">
        <v>71</v>
      </c>
      <c r="G144" s="153">
        <v>0</v>
      </c>
      <c r="H144" s="153">
        <v>0</v>
      </c>
      <c r="I144" s="115" t="str">
        <f t="shared" ref="I144" si="46">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87" t="s">
        <v>7</v>
      </c>
      <c r="AJ144" s="19" t="s">
        <v>7</v>
      </c>
      <c r="AK144" s="19" t="s">
        <v>7</v>
      </c>
      <c r="AL144" s="19" t="s">
        <v>7</v>
      </c>
      <c r="AM144" s="19" t="s">
        <v>7</v>
      </c>
      <c r="AN144" s="19" t="s">
        <v>7</v>
      </c>
      <c r="AO144" s="19" t="s">
        <v>7</v>
      </c>
      <c r="AP144" s="19" t="s">
        <v>7</v>
      </c>
      <c r="AQ144" s="19" t="s">
        <v>16</v>
      </c>
      <c r="AR144" s="19" t="s">
        <v>15</v>
      </c>
      <c r="AS144" s="19" t="s">
        <v>7</v>
      </c>
      <c r="AT144" s="28" t="s">
        <v>7</v>
      </c>
    </row>
    <row r="145" spans="1:46" ht="12.75" customHeight="1" x14ac:dyDescent="0.3">
      <c r="A145" s="158"/>
      <c r="B145" s="118"/>
      <c r="C145" s="118"/>
      <c r="D145" s="123"/>
      <c r="E145" s="123"/>
      <c r="F145" s="123"/>
      <c r="G145" s="154"/>
      <c r="H145" s="154"/>
      <c r="I145" s="116"/>
      <c r="J145" s="27">
        <v>3</v>
      </c>
      <c r="K145" s="19">
        <v>3</v>
      </c>
      <c r="L145" s="19">
        <v>4</v>
      </c>
      <c r="M145" s="19">
        <v>3</v>
      </c>
      <c r="N145" s="19">
        <v>3</v>
      </c>
      <c r="O145" s="19">
        <v>1</v>
      </c>
      <c r="P145" s="19">
        <v>2</v>
      </c>
      <c r="Q145" s="19">
        <v>4</v>
      </c>
      <c r="R145" s="19">
        <v>2</v>
      </c>
      <c r="S145" s="19">
        <v>2</v>
      </c>
      <c r="T145" s="19">
        <v>2</v>
      </c>
      <c r="U145" s="19">
        <v>3</v>
      </c>
      <c r="V145" s="19">
        <v>3</v>
      </c>
      <c r="W145" s="19">
        <v>3</v>
      </c>
      <c r="X145" s="19">
        <v>3</v>
      </c>
      <c r="Y145" s="19">
        <v>2</v>
      </c>
      <c r="Z145" s="19">
        <v>3</v>
      </c>
      <c r="AA145" s="19">
        <v>3</v>
      </c>
      <c r="AB145" s="19">
        <v>3</v>
      </c>
      <c r="AC145" s="19">
        <v>3</v>
      </c>
      <c r="AD145" s="19">
        <v>3</v>
      </c>
      <c r="AE145" s="19">
        <v>4</v>
      </c>
      <c r="AF145" s="19">
        <v>3</v>
      </c>
      <c r="AG145" s="19">
        <v>3</v>
      </c>
      <c r="AH145" s="19">
        <v>2</v>
      </c>
      <c r="AI145" s="87">
        <v>3</v>
      </c>
      <c r="AJ145" s="19">
        <v>1</v>
      </c>
      <c r="AK145" s="19">
        <v>3</v>
      </c>
      <c r="AL145" s="19">
        <v>2</v>
      </c>
      <c r="AM145" s="19">
        <v>4</v>
      </c>
      <c r="AN145" s="19">
        <v>1</v>
      </c>
      <c r="AO145" s="19">
        <v>3</v>
      </c>
      <c r="AP145" s="19">
        <v>3</v>
      </c>
      <c r="AQ145" s="19">
        <v>2</v>
      </c>
      <c r="AR145" s="19">
        <v>1</v>
      </c>
      <c r="AS145" s="19">
        <v>4</v>
      </c>
      <c r="AT145" s="28">
        <v>3</v>
      </c>
    </row>
    <row r="146" spans="1:46" ht="12.75" customHeight="1" x14ac:dyDescent="0.3">
      <c r="A146" s="158"/>
      <c r="B146" s="117">
        <v>46196</v>
      </c>
      <c r="C146" s="143">
        <v>0.70833333333333337</v>
      </c>
      <c r="D146" s="137" t="s">
        <v>83</v>
      </c>
      <c r="E146" s="122" t="s">
        <v>72</v>
      </c>
      <c r="F146" s="122" t="s">
        <v>20</v>
      </c>
      <c r="G146" s="153">
        <v>0</v>
      </c>
      <c r="H146" s="153">
        <v>1</v>
      </c>
      <c r="I146" s="115" t="str">
        <f t="shared" ref="I146" si="47">IF(G146="","-",IF(G146&gt;H146,"L",IF(G146=H146,"E",IF(G146&lt;H146,"V"))))</f>
        <v>V</v>
      </c>
      <c r="J146" s="26" t="s">
        <v>15</v>
      </c>
      <c r="K146" s="13" t="s">
        <v>15</v>
      </c>
      <c r="L146" s="13" t="s">
        <v>15</v>
      </c>
      <c r="M146" s="13" t="s">
        <v>15</v>
      </c>
      <c r="N146" s="13" t="s">
        <v>15</v>
      </c>
      <c r="O146" s="13" t="s">
        <v>15</v>
      </c>
      <c r="P146" s="13" t="s">
        <v>15</v>
      </c>
      <c r="Q146" s="13" t="s">
        <v>15</v>
      </c>
      <c r="R146" s="13" t="s">
        <v>16</v>
      </c>
      <c r="S146" s="13" t="s">
        <v>15</v>
      </c>
      <c r="T146" s="13" t="s">
        <v>15</v>
      </c>
      <c r="U146" s="13" t="s">
        <v>16</v>
      </c>
      <c r="V146" s="13" t="s">
        <v>15</v>
      </c>
      <c r="W146" s="13" t="s">
        <v>15</v>
      </c>
      <c r="X146" s="13" t="s">
        <v>15</v>
      </c>
      <c r="Y146" s="13" t="s">
        <v>16</v>
      </c>
      <c r="Z146" s="13" t="s">
        <v>15</v>
      </c>
      <c r="AA146" s="13" t="s">
        <v>15</v>
      </c>
      <c r="AB146" s="13" t="s">
        <v>15</v>
      </c>
      <c r="AC146" s="13" t="s">
        <v>15</v>
      </c>
      <c r="AD146" s="13" t="s">
        <v>15</v>
      </c>
      <c r="AE146" s="13" t="s">
        <v>15</v>
      </c>
      <c r="AF146" s="13" t="s">
        <v>15</v>
      </c>
      <c r="AG146" s="13" t="s">
        <v>15</v>
      </c>
      <c r="AH146" s="13" t="s">
        <v>15</v>
      </c>
      <c r="AI146" s="85" t="s">
        <v>15</v>
      </c>
      <c r="AJ146" s="13" t="s">
        <v>15</v>
      </c>
      <c r="AK146" s="13" t="s">
        <v>15</v>
      </c>
      <c r="AL146" s="13" t="s">
        <v>15</v>
      </c>
      <c r="AM146" s="13" t="s">
        <v>15</v>
      </c>
      <c r="AN146" s="13" t="s">
        <v>15</v>
      </c>
      <c r="AO146" s="13" t="s">
        <v>15</v>
      </c>
      <c r="AP146" s="13" t="s">
        <v>15</v>
      </c>
      <c r="AQ146" s="13" t="s">
        <v>16</v>
      </c>
      <c r="AR146" s="13" t="s">
        <v>15</v>
      </c>
      <c r="AS146" s="13" t="s">
        <v>15</v>
      </c>
      <c r="AT146" s="25" t="s">
        <v>15</v>
      </c>
    </row>
    <row r="147" spans="1:46" ht="12.75" customHeight="1" x14ac:dyDescent="0.3">
      <c r="A147" s="158"/>
      <c r="B147" s="118"/>
      <c r="C147" s="118"/>
      <c r="D147" s="123"/>
      <c r="E147" s="123"/>
      <c r="F147" s="123"/>
      <c r="G147" s="154"/>
      <c r="H147" s="154"/>
      <c r="I147" s="116"/>
      <c r="J147" s="26">
        <v>3</v>
      </c>
      <c r="K147" s="13">
        <v>2</v>
      </c>
      <c r="L147" s="13">
        <v>3</v>
      </c>
      <c r="M147" s="13">
        <v>3</v>
      </c>
      <c r="N147" s="13">
        <v>3</v>
      </c>
      <c r="O147" s="13">
        <v>3</v>
      </c>
      <c r="P147" s="13">
        <v>2</v>
      </c>
      <c r="Q147" s="13">
        <v>3</v>
      </c>
      <c r="R147" s="13">
        <v>2</v>
      </c>
      <c r="S147" s="13">
        <v>2</v>
      </c>
      <c r="T147" s="13">
        <v>2</v>
      </c>
      <c r="U147" s="13">
        <v>2</v>
      </c>
      <c r="V147" s="13">
        <v>2</v>
      </c>
      <c r="W147" s="13">
        <v>2</v>
      </c>
      <c r="X147" s="13">
        <v>1</v>
      </c>
      <c r="Y147" s="13">
        <v>1</v>
      </c>
      <c r="Z147" s="13">
        <v>3</v>
      </c>
      <c r="AA147" s="13">
        <v>2</v>
      </c>
      <c r="AB147" s="13">
        <v>2</v>
      </c>
      <c r="AC147" s="13">
        <v>1</v>
      </c>
      <c r="AD147" s="13">
        <v>3</v>
      </c>
      <c r="AE147" s="13">
        <v>3</v>
      </c>
      <c r="AF147" s="13">
        <v>4</v>
      </c>
      <c r="AG147" s="13">
        <v>2</v>
      </c>
      <c r="AH147" s="13">
        <v>4</v>
      </c>
      <c r="AI147" s="85">
        <v>2</v>
      </c>
      <c r="AJ147" s="13">
        <v>1</v>
      </c>
      <c r="AK147" s="13">
        <v>4</v>
      </c>
      <c r="AL147" s="13">
        <v>3</v>
      </c>
      <c r="AM147" s="13">
        <v>4</v>
      </c>
      <c r="AN147" s="13">
        <v>3</v>
      </c>
      <c r="AO147" s="13">
        <v>2</v>
      </c>
      <c r="AP147" s="13">
        <v>2</v>
      </c>
      <c r="AQ147" s="13">
        <v>2</v>
      </c>
      <c r="AR147" s="13">
        <v>2</v>
      </c>
      <c r="AS147" s="13">
        <v>4</v>
      </c>
      <c r="AT147" s="25">
        <v>2</v>
      </c>
    </row>
    <row r="148" spans="1:46" ht="12.75" customHeight="1" x14ac:dyDescent="0.3">
      <c r="A148" s="158"/>
      <c r="B148" s="117">
        <v>46200</v>
      </c>
      <c r="C148" s="143">
        <v>0.625</v>
      </c>
      <c r="D148" s="137" t="s">
        <v>80</v>
      </c>
      <c r="E148" s="122" t="s">
        <v>72</v>
      </c>
      <c r="F148" s="122" t="s">
        <v>24</v>
      </c>
      <c r="G148" s="153">
        <v>0</v>
      </c>
      <c r="H148" s="153">
        <v>2</v>
      </c>
      <c r="I148" s="115" t="str">
        <f t="shared" ref="I148" si="48">IF(G148="","-",IF(G148&gt;H148,"L",IF(G148=H148,"E",IF(G148&lt;H148,"V"))))</f>
        <v>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87"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58"/>
      <c r="B149" s="118"/>
      <c r="C149" s="118"/>
      <c r="D149" s="123"/>
      <c r="E149" s="123"/>
      <c r="F149" s="123"/>
      <c r="G149" s="154"/>
      <c r="H149" s="154"/>
      <c r="I149" s="116"/>
      <c r="J149" s="27">
        <v>3</v>
      </c>
      <c r="K149" s="19">
        <v>3</v>
      </c>
      <c r="L149" s="19">
        <v>3</v>
      </c>
      <c r="M149" s="19">
        <v>2</v>
      </c>
      <c r="N149" s="19">
        <v>2</v>
      </c>
      <c r="O149" s="19">
        <v>4</v>
      </c>
      <c r="P149" s="19">
        <v>2</v>
      </c>
      <c r="Q149" s="19">
        <v>4</v>
      </c>
      <c r="R149" s="19">
        <v>3</v>
      </c>
      <c r="S149" s="19">
        <v>3</v>
      </c>
      <c r="T149" s="19">
        <v>3</v>
      </c>
      <c r="U149" s="19">
        <v>2</v>
      </c>
      <c r="V149" s="19">
        <v>3</v>
      </c>
      <c r="W149" s="19">
        <v>3</v>
      </c>
      <c r="X149" s="19">
        <v>3</v>
      </c>
      <c r="Y149" s="19">
        <v>2</v>
      </c>
      <c r="Z149" s="19">
        <v>3</v>
      </c>
      <c r="AA149" s="19">
        <v>3</v>
      </c>
      <c r="AB149" s="19">
        <v>3</v>
      </c>
      <c r="AC149" s="19">
        <v>3</v>
      </c>
      <c r="AD149" s="19">
        <v>3</v>
      </c>
      <c r="AE149" s="19">
        <v>3</v>
      </c>
      <c r="AF149" s="19">
        <v>3</v>
      </c>
      <c r="AG149" s="19">
        <v>4</v>
      </c>
      <c r="AH149" s="19">
        <v>2</v>
      </c>
      <c r="AI149" s="87">
        <v>3</v>
      </c>
      <c r="AJ149" s="19">
        <v>2</v>
      </c>
      <c r="AK149" s="19">
        <v>4</v>
      </c>
      <c r="AL149" s="19">
        <v>2</v>
      </c>
      <c r="AM149" s="19">
        <v>3</v>
      </c>
      <c r="AN149" s="19">
        <v>2</v>
      </c>
      <c r="AO149" s="19">
        <v>3</v>
      </c>
      <c r="AP149" s="19">
        <v>2</v>
      </c>
      <c r="AQ149" s="19">
        <v>3</v>
      </c>
      <c r="AR149" s="19">
        <v>2</v>
      </c>
      <c r="AS149" s="19">
        <v>5</v>
      </c>
      <c r="AT149" s="28">
        <v>4</v>
      </c>
    </row>
    <row r="150" spans="1:46" ht="12.75" customHeight="1" x14ac:dyDescent="0.3">
      <c r="A150" s="158"/>
      <c r="B150" s="117">
        <v>46200</v>
      </c>
      <c r="C150" s="143">
        <v>0.625</v>
      </c>
      <c r="D150" s="137" t="s">
        <v>93</v>
      </c>
      <c r="E150" s="122" t="s">
        <v>20</v>
      </c>
      <c r="F150" s="122" t="s">
        <v>71</v>
      </c>
      <c r="G150" s="153">
        <v>2</v>
      </c>
      <c r="H150" s="153">
        <v>1</v>
      </c>
      <c r="I150" s="115" t="str">
        <f t="shared" ref="I150" si="49">IF(G150="","-",IF(G150&gt;H150,"L",IF(G150=H150,"E",IF(G150&lt;H150,"V"))))</f>
        <v>L</v>
      </c>
      <c r="J150" s="26" t="s">
        <v>7</v>
      </c>
      <c r="K150" s="13" t="s">
        <v>7</v>
      </c>
      <c r="L150" s="13" t="s">
        <v>7</v>
      </c>
      <c r="M150" s="13" t="s">
        <v>7</v>
      </c>
      <c r="N150" s="13" t="s">
        <v>7</v>
      </c>
      <c r="O150" s="13" t="s">
        <v>7</v>
      </c>
      <c r="P150" s="13" t="s">
        <v>7</v>
      </c>
      <c r="Q150" s="13" t="s">
        <v>7</v>
      </c>
      <c r="R150" s="13" t="s">
        <v>15</v>
      </c>
      <c r="S150" s="13" t="s">
        <v>16</v>
      </c>
      <c r="T150" s="13" t="s">
        <v>7</v>
      </c>
      <c r="U150" s="13" t="s">
        <v>7</v>
      </c>
      <c r="V150" s="13" t="s">
        <v>7</v>
      </c>
      <c r="W150" s="13" t="s">
        <v>7</v>
      </c>
      <c r="X150" s="13" t="s">
        <v>7</v>
      </c>
      <c r="Y150" s="13" t="s">
        <v>7</v>
      </c>
      <c r="Z150" s="13" t="s">
        <v>7</v>
      </c>
      <c r="AA150" s="13" t="s">
        <v>7</v>
      </c>
      <c r="AB150" s="13" t="s">
        <v>7</v>
      </c>
      <c r="AC150" s="13" t="s">
        <v>7</v>
      </c>
      <c r="AD150" s="13" t="s">
        <v>7</v>
      </c>
      <c r="AE150" s="13" t="s">
        <v>7</v>
      </c>
      <c r="AF150" s="13" t="s">
        <v>7</v>
      </c>
      <c r="AG150" s="13" t="s">
        <v>7</v>
      </c>
      <c r="AH150" s="13" t="s">
        <v>16</v>
      </c>
      <c r="AI150" s="85" t="s">
        <v>16</v>
      </c>
      <c r="AJ150" s="13" t="s">
        <v>15</v>
      </c>
      <c r="AK150" s="13" t="s">
        <v>16</v>
      </c>
      <c r="AL150" s="13" t="s">
        <v>16</v>
      </c>
      <c r="AM150" s="13" t="s">
        <v>7</v>
      </c>
      <c r="AN150" s="13" t="s">
        <v>15</v>
      </c>
      <c r="AO150" s="13" t="s">
        <v>7</v>
      </c>
      <c r="AP150" s="13" t="s">
        <v>7</v>
      </c>
      <c r="AQ150" s="13" t="s">
        <v>15</v>
      </c>
      <c r="AR150" s="13" t="s">
        <v>15</v>
      </c>
      <c r="AS150" s="13" t="s">
        <v>7</v>
      </c>
      <c r="AT150" s="25" t="s">
        <v>7</v>
      </c>
    </row>
    <row r="151" spans="1:46" ht="12.75" customHeight="1" x14ac:dyDescent="0.3">
      <c r="A151" s="159"/>
      <c r="B151" s="118"/>
      <c r="C151" s="118"/>
      <c r="D151" s="123"/>
      <c r="E151" s="123"/>
      <c r="F151" s="123"/>
      <c r="G151" s="154"/>
      <c r="H151" s="154"/>
      <c r="I151" s="116"/>
      <c r="J151" s="88">
        <v>3</v>
      </c>
      <c r="K151" s="14">
        <v>2</v>
      </c>
      <c r="L151" s="14">
        <v>3</v>
      </c>
      <c r="M151" s="14">
        <v>2</v>
      </c>
      <c r="N151" s="14">
        <v>2</v>
      </c>
      <c r="O151" s="14">
        <v>1</v>
      </c>
      <c r="P151" s="14">
        <v>2</v>
      </c>
      <c r="Q151" s="14">
        <v>3</v>
      </c>
      <c r="R151" s="14">
        <v>2</v>
      </c>
      <c r="S151" s="14">
        <v>2</v>
      </c>
      <c r="T151" s="14">
        <v>3</v>
      </c>
      <c r="U151" s="14">
        <v>4</v>
      </c>
      <c r="V151" s="14">
        <v>2</v>
      </c>
      <c r="W151" s="14">
        <v>2</v>
      </c>
      <c r="X151" s="14">
        <v>2</v>
      </c>
      <c r="Y151" s="14">
        <v>2</v>
      </c>
      <c r="Z151" s="14">
        <v>4</v>
      </c>
      <c r="AA151" s="14">
        <v>3</v>
      </c>
      <c r="AB151" s="14">
        <v>3</v>
      </c>
      <c r="AC151" s="14">
        <v>2</v>
      </c>
      <c r="AD151" s="14">
        <v>2</v>
      </c>
      <c r="AE151" s="14">
        <v>3</v>
      </c>
      <c r="AF151" s="14">
        <v>3</v>
      </c>
      <c r="AG151" s="14">
        <v>3</v>
      </c>
      <c r="AH151" s="14">
        <v>2</v>
      </c>
      <c r="AI151" s="89">
        <v>2</v>
      </c>
      <c r="AJ151" s="14">
        <v>1</v>
      </c>
      <c r="AK151" s="14">
        <v>4</v>
      </c>
      <c r="AL151" s="14">
        <v>4</v>
      </c>
      <c r="AM151" s="14">
        <v>2</v>
      </c>
      <c r="AN151" s="14">
        <v>3</v>
      </c>
      <c r="AO151" s="14">
        <v>2</v>
      </c>
      <c r="AP151" s="14">
        <v>1</v>
      </c>
      <c r="AQ151" s="14">
        <v>3</v>
      </c>
      <c r="AR151" s="14">
        <v>2</v>
      </c>
      <c r="AS151" s="14">
        <v>3</v>
      </c>
      <c r="AT151" s="29">
        <v>4</v>
      </c>
    </row>
    <row r="152" spans="1:46" ht="12.75" customHeight="1" x14ac:dyDescent="0.3">
      <c r="F152" s="160" t="s">
        <v>10</v>
      </c>
      <c r="G152" s="160"/>
      <c r="H152" s="160"/>
      <c r="I152" s="5">
        <f>SUM(G8:H151)</f>
        <v>215</v>
      </c>
      <c r="J152" s="51">
        <f t="shared" ref="J152:AT152" si="50">SUM(J79,J77,J75,J73,J71,J69,J67,J65,J63,J61,J59,J57,J55,J53,J51,J49,J47,J45,J43,J41,J39,J37,J35,J33,J31,J29,J27,J25,J23,J21,J19,J17,J15,J13,J11,J9,J81,J83,J85,J87,J89,J91,J93,J95,J97,J99,J101,J103,J105,J107,J109,J111,J113,J115,J117,J119,J121,J123,J125,J127,J129,J131,J133,J135,J137,J139,J141,J143,J145,J147,J149,J151)</f>
        <v>169</v>
      </c>
      <c r="K152" s="15">
        <f t="shared" si="50"/>
        <v>195</v>
      </c>
      <c r="L152" s="15">
        <f t="shared" si="50"/>
        <v>185</v>
      </c>
      <c r="M152" s="15">
        <f t="shared" si="50"/>
        <v>177</v>
      </c>
      <c r="N152" s="15">
        <f t="shared" si="50"/>
        <v>194</v>
      </c>
      <c r="O152" s="15">
        <f t="shared" si="50"/>
        <v>167</v>
      </c>
      <c r="P152" s="15">
        <f t="shared" si="50"/>
        <v>162</v>
      </c>
      <c r="Q152" s="15">
        <f t="shared" si="50"/>
        <v>208</v>
      </c>
      <c r="R152" s="15">
        <f t="shared" si="50"/>
        <v>190</v>
      </c>
      <c r="S152" s="15">
        <f t="shared" si="50"/>
        <v>186</v>
      </c>
      <c r="T152" s="15">
        <f t="shared" si="50"/>
        <v>183</v>
      </c>
      <c r="U152" s="15">
        <f t="shared" si="50"/>
        <v>177</v>
      </c>
      <c r="V152" s="15">
        <f t="shared" si="50"/>
        <v>172</v>
      </c>
      <c r="W152" s="15">
        <f t="shared" si="50"/>
        <v>183</v>
      </c>
      <c r="X152" s="15">
        <f t="shared" si="50"/>
        <v>163</v>
      </c>
      <c r="Y152" s="15">
        <f t="shared" si="50"/>
        <v>154</v>
      </c>
      <c r="Z152" s="15">
        <f t="shared" si="50"/>
        <v>186</v>
      </c>
      <c r="AA152" s="15">
        <f t="shared" si="50"/>
        <v>179</v>
      </c>
      <c r="AB152" s="15">
        <f t="shared" si="50"/>
        <v>190</v>
      </c>
      <c r="AC152" s="15">
        <f t="shared" si="50"/>
        <v>159</v>
      </c>
      <c r="AD152" s="15">
        <f t="shared" si="50"/>
        <v>201</v>
      </c>
      <c r="AE152" s="15">
        <f t="shared" si="50"/>
        <v>220</v>
      </c>
      <c r="AF152" s="15">
        <f t="shared" si="50"/>
        <v>204</v>
      </c>
      <c r="AG152" s="15">
        <f t="shared" si="50"/>
        <v>175</v>
      </c>
      <c r="AH152" s="15">
        <f t="shared" si="50"/>
        <v>181</v>
      </c>
      <c r="AI152" s="90">
        <f t="shared" si="50"/>
        <v>171</v>
      </c>
      <c r="AJ152" s="15">
        <f t="shared" si="50"/>
        <v>169</v>
      </c>
      <c r="AK152" s="15">
        <f t="shared" si="50"/>
        <v>233</v>
      </c>
      <c r="AL152" s="15">
        <f t="shared" si="50"/>
        <v>222</v>
      </c>
      <c r="AM152" s="15">
        <f t="shared" si="50"/>
        <v>237</v>
      </c>
      <c r="AN152" s="15">
        <f t="shared" si="50"/>
        <v>190</v>
      </c>
      <c r="AO152" s="15">
        <f t="shared" si="50"/>
        <v>167</v>
      </c>
      <c r="AP152" s="15">
        <f t="shared" si="50"/>
        <v>187</v>
      </c>
      <c r="AQ152" s="15">
        <f t="shared" si="50"/>
        <v>169</v>
      </c>
      <c r="AR152" s="15">
        <f t="shared" si="50"/>
        <v>170</v>
      </c>
      <c r="AS152" s="15">
        <f t="shared" si="50"/>
        <v>231</v>
      </c>
      <c r="AT152" s="30">
        <f t="shared" si="50"/>
        <v>227</v>
      </c>
    </row>
    <row r="153" spans="1:46" ht="33" customHeight="1" thickBot="1" x14ac:dyDescent="0.35">
      <c r="F153" s="131" t="s">
        <v>14</v>
      </c>
      <c r="G153" s="131"/>
      <c r="H153" s="131"/>
      <c r="I153" s="131"/>
      <c r="J153" s="31">
        <f t="shared" ref="J153:AT153" si="51">SUM(J154:J157)</f>
        <v>54</v>
      </c>
      <c r="K153" s="32">
        <f t="shared" si="51"/>
        <v>80</v>
      </c>
      <c r="L153" s="32">
        <f t="shared" si="51"/>
        <v>70</v>
      </c>
      <c r="M153" s="32">
        <f t="shared" si="51"/>
        <v>62</v>
      </c>
      <c r="N153" s="32">
        <f t="shared" si="51"/>
        <v>79</v>
      </c>
      <c r="O153" s="32">
        <f t="shared" si="51"/>
        <v>52</v>
      </c>
      <c r="P153" s="32">
        <f t="shared" si="51"/>
        <v>47</v>
      </c>
      <c r="Q153" s="32">
        <f t="shared" si="51"/>
        <v>93</v>
      </c>
      <c r="R153" s="32">
        <f t="shared" si="51"/>
        <v>75</v>
      </c>
      <c r="S153" s="32">
        <f t="shared" si="51"/>
        <v>71</v>
      </c>
      <c r="T153" s="32">
        <f t="shared" si="51"/>
        <v>68</v>
      </c>
      <c r="U153" s="32">
        <f t="shared" si="51"/>
        <v>62</v>
      </c>
      <c r="V153" s="32">
        <f t="shared" si="51"/>
        <v>57</v>
      </c>
      <c r="W153" s="32">
        <f t="shared" si="51"/>
        <v>68</v>
      </c>
      <c r="X153" s="32">
        <f t="shared" si="51"/>
        <v>48</v>
      </c>
      <c r="Y153" s="32">
        <f t="shared" si="51"/>
        <v>39</v>
      </c>
      <c r="Z153" s="32">
        <f t="shared" si="51"/>
        <v>71</v>
      </c>
      <c r="AA153" s="32">
        <f t="shared" si="51"/>
        <v>64</v>
      </c>
      <c r="AB153" s="32">
        <f t="shared" si="51"/>
        <v>75</v>
      </c>
      <c r="AC153" s="32">
        <f t="shared" si="51"/>
        <v>44</v>
      </c>
      <c r="AD153" s="32">
        <f t="shared" si="51"/>
        <v>86</v>
      </c>
      <c r="AE153" s="32">
        <f t="shared" si="51"/>
        <v>95</v>
      </c>
      <c r="AF153" s="32">
        <f t="shared" si="51"/>
        <v>89</v>
      </c>
      <c r="AG153" s="32">
        <f t="shared" si="51"/>
        <v>60</v>
      </c>
      <c r="AH153" s="32">
        <f t="shared" si="51"/>
        <v>66</v>
      </c>
      <c r="AI153" s="32">
        <f t="shared" si="51"/>
        <v>56</v>
      </c>
      <c r="AJ153" s="32">
        <f t="shared" si="51"/>
        <v>54</v>
      </c>
      <c r="AK153" s="32">
        <f t="shared" si="51"/>
        <v>82</v>
      </c>
      <c r="AL153" s="32">
        <f t="shared" si="51"/>
        <v>93</v>
      </c>
      <c r="AM153" s="32">
        <f t="shared" si="51"/>
        <v>78</v>
      </c>
      <c r="AN153" s="32">
        <f t="shared" si="51"/>
        <v>75</v>
      </c>
      <c r="AO153" s="32">
        <f t="shared" si="51"/>
        <v>52</v>
      </c>
      <c r="AP153" s="32">
        <f t="shared" si="51"/>
        <v>72</v>
      </c>
      <c r="AQ153" s="32">
        <f t="shared" si="51"/>
        <v>54</v>
      </c>
      <c r="AR153" s="32">
        <f t="shared" si="51"/>
        <v>55</v>
      </c>
      <c r="AS153" s="32">
        <f t="shared" si="51"/>
        <v>84</v>
      </c>
      <c r="AT153" s="33">
        <f t="shared" si="51"/>
        <v>88</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52">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80</v>
      </c>
      <c r="L154" s="4">
        <f t="shared" si="52"/>
        <v>70</v>
      </c>
      <c r="M154" s="4">
        <f t="shared" si="52"/>
        <v>0</v>
      </c>
      <c r="N154" s="4">
        <f t="shared" si="52"/>
        <v>79</v>
      </c>
      <c r="O154" s="4">
        <f t="shared" si="52"/>
        <v>0</v>
      </c>
      <c r="P154" s="4">
        <f t="shared" si="52"/>
        <v>0</v>
      </c>
      <c r="Q154" s="4">
        <f t="shared" si="52"/>
        <v>93</v>
      </c>
      <c r="R154" s="4">
        <f t="shared" si="52"/>
        <v>75</v>
      </c>
      <c r="S154" s="4">
        <f t="shared" si="52"/>
        <v>71</v>
      </c>
      <c r="T154" s="4">
        <f t="shared" si="52"/>
        <v>68</v>
      </c>
      <c r="U154" s="4">
        <f t="shared" si="52"/>
        <v>0</v>
      </c>
      <c r="V154" s="4">
        <f t="shared" ref="V154:X154" si="53">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53"/>
        <v>68</v>
      </c>
      <c r="X154" s="4">
        <f t="shared" si="53"/>
        <v>0</v>
      </c>
      <c r="Y154" s="4">
        <f t="shared" si="52"/>
        <v>0</v>
      </c>
      <c r="Z154" s="4">
        <f t="shared" si="52"/>
        <v>71</v>
      </c>
      <c r="AA154" s="4">
        <f t="shared" si="52"/>
        <v>0</v>
      </c>
      <c r="AB154" s="4">
        <f t="shared" si="52"/>
        <v>75</v>
      </c>
      <c r="AC154" s="4">
        <f t="shared" si="52"/>
        <v>0</v>
      </c>
      <c r="AD154" s="4">
        <f t="shared" si="52"/>
        <v>86</v>
      </c>
      <c r="AE154" s="4">
        <f t="shared" si="52"/>
        <v>95</v>
      </c>
      <c r="AF154" s="4">
        <f t="shared" si="52"/>
        <v>89</v>
      </c>
      <c r="AG154" s="4">
        <f t="shared" si="52"/>
        <v>0</v>
      </c>
      <c r="AH154" s="4">
        <f t="shared" si="52"/>
        <v>0</v>
      </c>
      <c r="AI154" s="4">
        <f t="shared" si="52"/>
        <v>0</v>
      </c>
      <c r="AJ154" s="4">
        <f t="shared" si="52"/>
        <v>0</v>
      </c>
      <c r="AK154" s="4">
        <f t="shared" si="52"/>
        <v>82</v>
      </c>
      <c r="AL154" s="4">
        <f t="shared" si="52"/>
        <v>93</v>
      </c>
      <c r="AM154" s="4">
        <f t="shared" ref="AM154:AP154" si="54">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78</v>
      </c>
      <c r="AN154" s="4">
        <f t="shared" si="54"/>
        <v>75</v>
      </c>
      <c r="AO154" s="4">
        <f t="shared" si="54"/>
        <v>0</v>
      </c>
      <c r="AP154" s="4">
        <f t="shared" si="54"/>
        <v>72</v>
      </c>
      <c r="AQ154" s="4">
        <f t="shared" ref="AQ154:AT154" si="55">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55"/>
        <v>0</v>
      </c>
      <c r="AS154" s="4">
        <f t="shared" si="55"/>
        <v>84</v>
      </c>
      <c r="AT154" s="4">
        <f t="shared" si="55"/>
        <v>88</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54</v>
      </c>
      <c r="K155" s="4">
        <f t="shared" ref="K155:AL155" si="56">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56"/>
        <v>0</v>
      </c>
      <c r="M155" s="4">
        <f t="shared" si="56"/>
        <v>62</v>
      </c>
      <c r="N155" s="4">
        <f t="shared" si="56"/>
        <v>0</v>
      </c>
      <c r="O155" s="4">
        <f t="shared" si="56"/>
        <v>52</v>
      </c>
      <c r="P155" s="4">
        <f t="shared" si="56"/>
        <v>47</v>
      </c>
      <c r="Q155" s="4">
        <f t="shared" si="56"/>
        <v>0</v>
      </c>
      <c r="R155" s="4">
        <f t="shared" si="56"/>
        <v>0</v>
      </c>
      <c r="S155" s="4">
        <f t="shared" si="56"/>
        <v>0</v>
      </c>
      <c r="T155" s="4">
        <f t="shared" si="56"/>
        <v>0</v>
      </c>
      <c r="U155" s="4">
        <f t="shared" si="56"/>
        <v>62</v>
      </c>
      <c r="V155" s="4">
        <f t="shared" ref="V155:X155" si="57">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57</v>
      </c>
      <c r="W155" s="4">
        <f t="shared" si="57"/>
        <v>0</v>
      </c>
      <c r="X155" s="4">
        <f t="shared" si="57"/>
        <v>48</v>
      </c>
      <c r="Y155" s="4">
        <f t="shared" si="56"/>
        <v>39</v>
      </c>
      <c r="Z155" s="4">
        <f t="shared" si="56"/>
        <v>0</v>
      </c>
      <c r="AA155" s="4">
        <f t="shared" si="56"/>
        <v>64</v>
      </c>
      <c r="AB155" s="4">
        <f t="shared" si="56"/>
        <v>0</v>
      </c>
      <c r="AC155" s="4">
        <f t="shared" si="56"/>
        <v>44</v>
      </c>
      <c r="AD155" s="4">
        <f t="shared" si="56"/>
        <v>0</v>
      </c>
      <c r="AE155" s="4">
        <f t="shared" si="56"/>
        <v>0</v>
      </c>
      <c r="AF155" s="4">
        <f t="shared" si="56"/>
        <v>0</v>
      </c>
      <c r="AG155" s="4">
        <f t="shared" si="56"/>
        <v>60</v>
      </c>
      <c r="AH155" s="4">
        <f t="shared" si="56"/>
        <v>66</v>
      </c>
      <c r="AI155" s="4">
        <f t="shared" si="56"/>
        <v>56</v>
      </c>
      <c r="AJ155" s="4">
        <f t="shared" si="56"/>
        <v>54</v>
      </c>
      <c r="AK155" s="4">
        <f t="shared" si="56"/>
        <v>0</v>
      </c>
      <c r="AL155" s="4">
        <f t="shared" si="56"/>
        <v>0</v>
      </c>
      <c r="AM155" s="4">
        <f t="shared" ref="AM155:AP155" si="58">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8"/>
        <v>0</v>
      </c>
      <c r="AO155" s="4">
        <f t="shared" si="58"/>
        <v>52</v>
      </c>
      <c r="AP155" s="4">
        <f t="shared" si="58"/>
        <v>0</v>
      </c>
      <c r="AQ155" s="4">
        <f t="shared" ref="AQ155:AT155" si="59">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54</v>
      </c>
      <c r="AR155" s="4">
        <f t="shared" si="59"/>
        <v>55</v>
      </c>
      <c r="AS155" s="4">
        <f t="shared" si="59"/>
        <v>0</v>
      </c>
      <c r="AT155" s="4">
        <f t="shared" si="59"/>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60">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60"/>
        <v>0</v>
      </c>
      <c r="M156" s="4">
        <f t="shared" si="60"/>
        <v>0</v>
      </c>
      <c r="N156" s="4">
        <f t="shared" si="60"/>
        <v>0</v>
      </c>
      <c r="O156" s="4">
        <f t="shared" si="60"/>
        <v>0</v>
      </c>
      <c r="P156" s="4">
        <f t="shared" si="60"/>
        <v>0</v>
      </c>
      <c r="Q156" s="4">
        <f t="shared" si="60"/>
        <v>0</v>
      </c>
      <c r="R156" s="4">
        <f t="shared" si="60"/>
        <v>0</v>
      </c>
      <c r="S156" s="4">
        <f t="shared" si="60"/>
        <v>0</v>
      </c>
      <c r="T156" s="4">
        <f t="shared" si="60"/>
        <v>0</v>
      </c>
      <c r="U156" s="4">
        <f t="shared" si="60"/>
        <v>0</v>
      </c>
      <c r="V156" s="4">
        <f t="shared" ref="V156:X156" si="61">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61"/>
        <v>0</v>
      </c>
      <c r="X156" s="4">
        <f t="shared" si="61"/>
        <v>0</v>
      </c>
      <c r="Y156" s="4">
        <f t="shared" si="60"/>
        <v>0</v>
      </c>
      <c r="Z156" s="4">
        <f t="shared" si="60"/>
        <v>0</v>
      </c>
      <c r="AA156" s="4">
        <f t="shared" si="60"/>
        <v>0</v>
      </c>
      <c r="AB156" s="4">
        <f t="shared" si="60"/>
        <v>0</v>
      </c>
      <c r="AC156" s="4">
        <f t="shared" si="60"/>
        <v>0</v>
      </c>
      <c r="AD156" s="4">
        <f t="shared" si="60"/>
        <v>0</v>
      </c>
      <c r="AE156" s="4">
        <f t="shared" si="60"/>
        <v>0</v>
      </c>
      <c r="AF156" s="4">
        <f t="shared" si="60"/>
        <v>0</v>
      </c>
      <c r="AG156" s="4">
        <f t="shared" si="60"/>
        <v>0</v>
      </c>
      <c r="AH156" s="4">
        <f t="shared" si="60"/>
        <v>0</v>
      </c>
      <c r="AI156" s="4">
        <f t="shared" si="60"/>
        <v>0</v>
      </c>
      <c r="AJ156" s="4">
        <f t="shared" si="60"/>
        <v>0</v>
      </c>
      <c r="AK156" s="4">
        <f t="shared" si="60"/>
        <v>0</v>
      </c>
      <c r="AL156" s="4">
        <f t="shared" si="60"/>
        <v>0</v>
      </c>
      <c r="AM156" s="4">
        <f t="shared" ref="AM156:AP156" si="62">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62"/>
        <v>0</v>
      </c>
      <c r="AO156" s="4">
        <f t="shared" si="62"/>
        <v>0</v>
      </c>
      <c r="AP156" s="4">
        <f t="shared" si="62"/>
        <v>0</v>
      </c>
      <c r="AQ156" s="4">
        <f t="shared" ref="AQ156:AT156" si="63">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63"/>
        <v>0</v>
      </c>
      <c r="AS156" s="4">
        <f t="shared" si="63"/>
        <v>0</v>
      </c>
      <c r="AT156" s="4">
        <f t="shared" si="63"/>
        <v>0</v>
      </c>
    </row>
    <row r="157" spans="1:46" x14ac:dyDescent="0.3">
      <c r="F157" s="57"/>
      <c r="G157" s="3"/>
      <c r="H157" s="3"/>
      <c r="I157" s="3"/>
      <c r="J157" s="4">
        <f>IF($I$152-J152=-96,4,IF($I$152-J152=97,3,IF($I$152-J152=-97,3,IF($I$152-J152=98,2,IF($I$152-J152=-98,2,IF($I$152-J152=99,1,IF($I$152-J152=-99,1,IF($I$152-J152=100,0,IF($I$152-J152=-100,0,0)))))))))</f>
        <v>0</v>
      </c>
      <c r="K157" s="4">
        <f t="shared" ref="K157:AL157" si="64">IF($I$152-K152=-96,4,IF($I$152-K152=97,3,IF($I$152-K152=-97,3,IF($I$152-K152=98,2,IF($I$152-K152=-98,2,IF($I$152-K152=99,1,IF($I$152-K152=-99,1,IF($I$152-K152=100,0,IF($I$152-K152=-100,0,0)))))))))</f>
        <v>0</v>
      </c>
      <c r="L157" s="4">
        <f t="shared" si="64"/>
        <v>0</v>
      </c>
      <c r="M157" s="4">
        <f t="shared" si="64"/>
        <v>0</v>
      </c>
      <c r="N157" s="4">
        <f t="shared" si="64"/>
        <v>0</v>
      </c>
      <c r="O157" s="4">
        <f t="shared" si="64"/>
        <v>0</v>
      </c>
      <c r="P157" s="4">
        <f t="shared" si="64"/>
        <v>0</v>
      </c>
      <c r="Q157" s="4">
        <f t="shared" si="64"/>
        <v>0</v>
      </c>
      <c r="R157" s="4">
        <f t="shared" si="64"/>
        <v>0</v>
      </c>
      <c r="S157" s="4">
        <f t="shared" si="64"/>
        <v>0</v>
      </c>
      <c r="T157" s="4">
        <f t="shared" si="64"/>
        <v>0</v>
      </c>
      <c r="U157" s="4">
        <f t="shared" si="64"/>
        <v>0</v>
      </c>
      <c r="V157" s="4">
        <f t="shared" ref="V157:X157" si="65">IF($I$152-V152=-96,4,IF($I$152-V152=97,3,IF($I$152-V152=-97,3,IF($I$152-V152=98,2,IF($I$152-V152=-98,2,IF($I$152-V152=99,1,IF($I$152-V152=-99,1,IF($I$152-V152=100,0,IF($I$152-V152=-100,0,0)))))))))</f>
        <v>0</v>
      </c>
      <c r="W157" s="4">
        <f t="shared" si="65"/>
        <v>0</v>
      </c>
      <c r="X157" s="4">
        <f t="shared" si="65"/>
        <v>0</v>
      </c>
      <c r="Y157" s="4">
        <f t="shared" si="64"/>
        <v>0</v>
      </c>
      <c r="Z157" s="4">
        <f t="shared" si="64"/>
        <v>0</v>
      </c>
      <c r="AA157" s="4">
        <f t="shared" si="64"/>
        <v>0</v>
      </c>
      <c r="AB157" s="4">
        <f t="shared" si="64"/>
        <v>0</v>
      </c>
      <c r="AC157" s="4">
        <f t="shared" si="64"/>
        <v>0</v>
      </c>
      <c r="AD157" s="4">
        <f t="shared" si="64"/>
        <v>0</v>
      </c>
      <c r="AE157" s="4">
        <f t="shared" si="64"/>
        <v>0</v>
      </c>
      <c r="AF157" s="4">
        <f t="shared" si="64"/>
        <v>0</v>
      </c>
      <c r="AG157" s="4">
        <f t="shared" si="64"/>
        <v>0</v>
      </c>
      <c r="AH157" s="4">
        <f t="shared" si="64"/>
        <v>0</v>
      </c>
      <c r="AI157" s="4">
        <f t="shared" si="64"/>
        <v>0</v>
      </c>
      <c r="AJ157" s="4">
        <f t="shared" si="64"/>
        <v>0</v>
      </c>
      <c r="AK157" s="4">
        <f t="shared" si="64"/>
        <v>0</v>
      </c>
      <c r="AL157" s="4">
        <f t="shared" si="64"/>
        <v>0</v>
      </c>
      <c r="AM157" s="4">
        <f t="shared" ref="AM157:AP157" si="66">IF($I$152-AM152=-96,4,IF($I$152-AM152=97,3,IF($I$152-AM152=-97,3,IF($I$152-AM152=98,2,IF($I$152-AM152=-98,2,IF($I$152-AM152=99,1,IF($I$152-AM152=-99,1,IF($I$152-AM152=100,0,IF($I$152-AM152=-100,0,0)))))))))</f>
        <v>0</v>
      </c>
      <c r="AN157" s="4">
        <f t="shared" si="66"/>
        <v>0</v>
      </c>
      <c r="AO157" s="4">
        <f t="shared" si="66"/>
        <v>0</v>
      </c>
      <c r="AP157" s="4">
        <f t="shared" si="66"/>
        <v>0</v>
      </c>
      <c r="AQ157" s="4">
        <f t="shared" ref="AQ157:AT157" si="67">IF($I$152-AQ152=-96,4,IF($I$152-AQ152=97,3,IF($I$152-AQ152=-97,3,IF($I$152-AQ152=98,2,IF($I$152-AQ152=-98,2,IF($I$152-AQ152=99,1,IF($I$152-AQ152=-99,1,IF($I$152-AQ152=100,0,IF($I$152-AQ152=-100,0,0)))))))))</f>
        <v>0</v>
      </c>
      <c r="AR157" s="4">
        <f t="shared" si="67"/>
        <v>0</v>
      </c>
      <c r="AS157" s="4">
        <f t="shared" si="67"/>
        <v>0</v>
      </c>
      <c r="AT157" s="4">
        <f t="shared" si="67"/>
        <v>0</v>
      </c>
    </row>
    <row r="158" spans="1:46" ht="24" customHeight="1" x14ac:dyDescent="0.3">
      <c r="E158" s="161"/>
      <c r="F158" s="161"/>
      <c r="G158" s="161"/>
      <c r="H158" s="161"/>
      <c r="I158" s="3"/>
    </row>
    <row r="159" spans="1:46" ht="24" customHeight="1" x14ac:dyDescent="0.3">
      <c r="E159" s="161"/>
      <c r="F159" s="161"/>
      <c r="G159" s="161"/>
      <c r="H159" s="161"/>
      <c r="I159" s="3"/>
    </row>
    <row r="160" spans="1:46" ht="24" customHeight="1" x14ac:dyDescent="0.3">
      <c r="E160" s="161"/>
      <c r="F160" s="161"/>
      <c r="G160" s="161"/>
      <c r="H160" s="161"/>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126</v>
      </c>
    </row>
    <row r="5" spans="1:11" x14ac:dyDescent="0.3">
      <c r="A5">
        <v>8</v>
      </c>
      <c r="B5">
        <v>8</v>
      </c>
      <c r="C5">
        <v>9</v>
      </c>
      <c r="D5" t="s">
        <v>128</v>
      </c>
      <c r="E5" s="69" t="s">
        <v>127</v>
      </c>
      <c r="F5" s="69" t="s">
        <v>129</v>
      </c>
      <c r="G5" s="69" t="s">
        <v>130</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131</v>
      </c>
      <c r="E6" s="69" t="s">
        <v>127</v>
      </c>
      <c r="F6" s="69" t="s">
        <v>129</v>
      </c>
      <c r="G6" s="69" t="s">
        <v>130</v>
      </c>
      <c r="H6" t="str">
        <f t="shared" ref="H6:H69" si="0">CONCATENATE(D6,A6,E6,B6,F6,C6,G6)</f>
        <v>Y($G$10="",$H$10="",J11=0)+</v>
      </c>
      <c r="K6" t="s">
        <v>132</v>
      </c>
    </row>
    <row r="7" spans="1:11" x14ac:dyDescent="0.3">
      <c r="A7">
        <v>12</v>
      </c>
      <c r="B7">
        <v>12</v>
      </c>
      <c r="C7">
        <v>13</v>
      </c>
      <c r="D7" t="s">
        <v>131</v>
      </c>
      <c r="E7" s="69" t="s">
        <v>127</v>
      </c>
      <c r="F7" s="69" t="s">
        <v>129</v>
      </c>
      <c r="G7" s="69" t="s">
        <v>130</v>
      </c>
      <c r="H7" t="str">
        <f t="shared" si="0"/>
        <v>Y($G$12="",$H$12="",J13=0)+</v>
      </c>
    </row>
    <row r="8" spans="1:11" x14ac:dyDescent="0.3">
      <c r="A8">
        <v>14</v>
      </c>
      <c r="B8">
        <v>14</v>
      </c>
      <c r="C8">
        <v>15</v>
      </c>
      <c r="D8" t="s">
        <v>131</v>
      </c>
      <c r="E8" s="69" t="s">
        <v>127</v>
      </c>
      <c r="F8" s="69" t="s">
        <v>129</v>
      </c>
      <c r="G8" s="69" t="s">
        <v>130</v>
      </c>
      <c r="H8" t="str">
        <f t="shared" si="0"/>
        <v>Y($G$14="",$H$14="",J15=0)+</v>
      </c>
    </row>
    <row r="9" spans="1:11" x14ac:dyDescent="0.3">
      <c r="A9">
        <v>16</v>
      </c>
      <c r="B9">
        <v>16</v>
      </c>
      <c r="C9">
        <v>17</v>
      </c>
      <c r="D9" t="s">
        <v>131</v>
      </c>
      <c r="E9" s="69" t="s">
        <v>127</v>
      </c>
      <c r="F9" s="69" t="s">
        <v>129</v>
      </c>
      <c r="G9" s="69" t="s">
        <v>130</v>
      </c>
      <c r="H9" t="str">
        <f t="shared" si="0"/>
        <v>Y($G$16="",$H$16="",J17=0)+</v>
      </c>
    </row>
    <row r="10" spans="1:11" x14ac:dyDescent="0.3">
      <c r="A10">
        <v>18</v>
      </c>
      <c r="B10">
        <v>18</v>
      </c>
      <c r="C10">
        <v>19</v>
      </c>
      <c r="D10" t="s">
        <v>131</v>
      </c>
      <c r="E10" s="69" t="s">
        <v>127</v>
      </c>
      <c r="F10" s="69" t="s">
        <v>129</v>
      </c>
      <c r="G10" s="69" t="s">
        <v>130</v>
      </c>
      <c r="H10" t="str">
        <f t="shared" si="0"/>
        <v>Y($G$18="",$H$18="",J19=0)+</v>
      </c>
    </row>
    <row r="11" spans="1:11" x14ac:dyDescent="0.3">
      <c r="A11">
        <v>20</v>
      </c>
      <c r="B11">
        <v>20</v>
      </c>
      <c r="C11">
        <v>21</v>
      </c>
      <c r="D11" t="s">
        <v>131</v>
      </c>
      <c r="E11" s="69" t="s">
        <v>127</v>
      </c>
      <c r="F11" s="69" t="s">
        <v>129</v>
      </c>
      <c r="G11" s="69" t="s">
        <v>130</v>
      </c>
      <c r="H11" t="str">
        <f t="shared" si="0"/>
        <v>Y($G$20="",$H$20="",J21=0)+</v>
      </c>
    </row>
    <row r="12" spans="1:11" x14ac:dyDescent="0.3">
      <c r="A12">
        <v>22</v>
      </c>
      <c r="B12">
        <v>22</v>
      </c>
      <c r="C12">
        <v>23</v>
      </c>
      <c r="D12" t="s">
        <v>131</v>
      </c>
      <c r="E12" s="69" t="s">
        <v>127</v>
      </c>
      <c r="F12" s="69" t="s">
        <v>129</v>
      </c>
      <c r="G12" s="69" t="s">
        <v>130</v>
      </c>
      <c r="H12" t="str">
        <f t="shared" si="0"/>
        <v>Y($G$22="",$H$22="",J23=0)+</v>
      </c>
    </row>
    <row r="13" spans="1:11" x14ac:dyDescent="0.3">
      <c r="A13">
        <v>24</v>
      </c>
      <c r="B13">
        <v>24</v>
      </c>
      <c r="C13">
        <v>25</v>
      </c>
      <c r="D13" t="s">
        <v>131</v>
      </c>
      <c r="E13" s="69" t="s">
        <v>127</v>
      </c>
      <c r="F13" s="69" t="s">
        <v>129</v>
      </c>
      <c r="G13" s="69" t="s">
        <v>130</v>
      </c>
      <c r="H13" t="str">
        <f t="shared" si="0"/>
        <v>Y($G$24="",$H$24="",J25=0)+</v>
      </c>
    </row>
    <row r="14" spans="1:11" x14ac:dyDescent="0.3">
      <c r="A14">
        <v>26</v>
      </c>
      <c r="B14">
        <v>26</v>
      </c>
      <c r="C14">
        <v>27</v>
      </c>
      <c r="D14" t="s">
        <v>131</v>
      </c>
      <c r="E14" s="69" t="s">
        <v>127</v>
      </c>
      <c r="F14" s="69" t="s">
        <v>129</v>
      </c>
      <c r="G14" s="69" t="s">
        <v>130</v>
      </c>
      <c r="H14" t="str">
        <f t="shared" si="0"/>
        <v>Y($G$26="",$H$26="",J27=0)+</v>
      </c>
    </row>
    <row r="15" spans="1:11" x14ac:dyDescent="0.3">
      <c r="A15">
        <v>28</v>
      </c>
      <c r="B15">
        <v>28</v>
      </c>
      <c r="C15">
        <v>29</v>
      </c>
      <c r="D15" t="s">
        <v>131</v>
      </c>
      <c r="E15" s="69" t="s">
        <v>127</v>
      </c>
      <c r="F15" s="69" t="s">
        <v>129</v>
      </c>
      <c r="G15" s="69" t="s">
        <v>130</v>
      </c>
      <c r="H15" t="str">
        <f t="shared" si="0"/>
        <v>Y($G$28="",$H$28="",J29=0)+</v>
      </c>
    </row>
    <row r="16" spans="1:11" x14ac:dyDescent="0.3">
      <c r="A16">
        <v>30</v>
      </c>
      <c r="B16">
        <v>30</v>
      </c>
      <c r="C16">
        <v>31</v>
      </c>
      <c r="D16" t="s">
        <v>131</v>
      </c>
      <c r="E16" s="69" t="s">
        <v>127</v>
      </c>
      <c r="F16" s="69" t="s">
        <v>129</v>
      </c>
      <c r="G16" s="69" t="s">
        <v>130</v>
      </c>
      <c r="H16" t="str">
        <f t="shared" si="0"/>
        <v>Y($G$30="",$H$30="",J31=0)+</v>
      </c>
    </row>
    <row r="17" spans="1:8" x14ac:dyDescent="0.3">
      <c r="A17">
        <v>32</v>
      </c>
      <c r="B17">
        <v>32</v>
      </c>
      <c r="C17">
        <v>33</v>
      </c>
      <c r="D17" t="s">
        <v>131</v>
      </c>
      <c r="E17" s="69" t="s">
        <v>127</v>
      </c>
      <c r="F17" s="69" t="s">
        <v>129</v>
      </c>
      <c r="G17" s="69" t="s">
        <v>130</v>
      </c>
      <c r="H17" t="str">
        <f t="shared" si="0"/>
        <v>Y($G$32="",$H$32="",J33=0)+</v>
      </c>
    </row>
    <row r="18" spans="1:8" x14ac:dyDescent="0.3">
      <c r="A18">
        <v>34</v>
      </c>
      <c r="B18">
        <v>34</v>
      </c>
      <c r="C18">
        <v>35</v>
      </c>
      <c r="D18" t="s">
        <v>131</v>
      </c>
      <c r="E18" s="69" t="s">
        <v>127</v>
      </c>
      <c r="F18" s="69" t="s">
        <v>129</v>
      </c>
      <c r="G18" s="69" t="s">
        <v>130</v>
      </c>
      <c r="H18" t="str">
        <f t="shared" si="0"/>
        <v>Y($G$34="",$H$34="",J35=0)+</v>
      </c>
    </row>
    <row r="19" spans="1:8" x14ac:dyDescent="0.3">
      <c r="A19">
        <v>36</v>
      </c>
      <c r="B19">
        <v>36</v>
      </c>
      <c r="C19">
        <v>37</v>
      </c>
      <c r="D19" t="s">
        <v>131</v>
      </c>
      <c r="E19" s="69" t="s">
        <v>127</v>
      </c>
      <c r="F19" s="69" t="s">
        <v>129</v>
      </c>
      <c r="G19" s="69" t="s">
        <v>130</v>
      </c>
      <c r="H19" t="str">
        <f t="shared" si="0"/>
        <v>Y($G$36="",$H$36="",J37=0)+</v>
      </c>
    </row>
    <row r="20" spans="1:8" x14ac:dyDescent="0.3">
      <c r="A20">
        <v>38</v>
      </c>
      <c r="B20">
        <v>38</v>
      </c>
      <c r="C20">
        <v>39</v>
      </c>
      <c r="D20" t="s">
        <v>131</v>
      </c>
      <c r="E20" s="69" t="s">
        <v>127</v>
      </c>
      <c r="F20" s="69" t="s">
        <v>129</v>
      </c>
      <c r="G20" s="69" t="s">
        <v>130</v>
      </c>
      <c r="H20" t="str">
        <f t="shared" si="0"/>
        <v>Y($G$38="",$H$38="",J39=0)+</v>
      </c>
    </row>
    <row r="21" spans="1:8" x14ac:dyDescent="0.3">
      <c r="A21">
        <v>40</v>
      </c>
      <c r="B21">
        <v>40</v>
      </c>
      <c r="C21">
        <v>41</v>
      </c>
      <c r="D21" t="s">
        <v>131</v>
      </c>
      <c r="E21" s="69" t="s">
        <v>127</v>
      </c>
      <c r="F21" s="69" t="s">
        <v>129</v>
      </c>
      <c r="G21" s="69" t="s">
        <v>130</v>
      </c>
      <c r="H21" t="str">
        <f t="shared" si="0"/>
        <v>Y($G$40="",$H$40="",J41=0)+</v>
      </c>
    </row>
    <row r="22" spans="1:8" x14ac:dyDescent="0.3">
      <c r="A22">
        <v>42</v>
      </c>
      <c r="B22">
        <v>42</v>
      </c>
      <c r="C22">
        <v>43</v>
      </c>
      <c r="D22" t="s">
        <v>131</v>
      </c>
      <c r="E22" s="69" t="s">
        <v>127</v>
      </c>
      <c r="F22" s="69" t="s">
        <v>129</v>
      </c>
      <c r="G22" s="69" t="s">
        <v>130</v>
      </c>
      <c r="H22" t="str">
        <f t="shared" si="0"/>
        <v>Y($G$42="",$H$42="",J43=0)+</v>
      </c>
    </row>
    <row r="23" spans="1:8" x14ac:dyDescent="0.3">
      <c r="A23">
        <v>44</v>
      </c>
      <c r="B23">
        <v>44</v>
      </c>
      <c r="C23">
        <v>45</v>
      </c>
      <c r="D23" t="s">
        <v>131</v>
      </c>
      <c r="E23" s="69" t="s">
        <v>127</v>
      </c>
      <c r="F23" s="69" t="s">
        <v>129</v>
      </c>
      <c r="G23" s="69" t="s">
        <v>130</v>
      </c>
      <c r="H23" t="str">
        <f t="shared" si="0"/>
        <v>Y($G$44="",$H$44="",J45=0)+</v>
      </c>
    </row>
    <row r="24" spans="1:8" x14ac:dyDescent="0.3">
      <c r="A24">
        <v>46</v>
      </c>
      <c r="B24">
        <v>46</v>
      </c>
      <c r="C24">
        <v>47</v>
      </c>
      <c r="D24" t="s">
        <v>131</v>
      </c>
      <c r="E24" s="69" t="s">
        <v>127</v>
      </c>
      <c r="F24" s="69" t="s">
        <v>129</v>
      </c>
      <c r="G24" s="69" t="s">
        <v>130</v>
      </c>
      <c r="H24" t="str">
        <f t="shared" si="0"/>
        <v>Y($G$46="",$H$46="",J47=0)+</v>
      </c>
    </row>
    <row r="25" spans="1:8" x14ac:dyDescent="0.3">
      <c r="A25">
        <v>48</v>
      </c>
      <c r="B25">
        <v>48</v>
      </c>
      <c r="C25">
        <v>49</v>
      </c>
      <c r="D25" t="s">
        <v>131</v>
      </c>
      <c r="E25" s="69" t="s">
        <v>127</v>
      </c>
      <c r="F25" s="69" t="s">
        <v>129</v>
      </c>
      <c r="G25" s="69" t="s">
        <v>130</v>
      </c>
      <c r="H25" t="str">
        <f t="shared" si="0"/>
        <v>Y($G$48="",$H$48="",J49=0)+</v>
      </c>
    </row>
    <row r="26" spans="1:8" x14ac:dyDescent="0.3">
      <c r="A26">
        <v>50</v>
      </c>
      <c r="B26">
        <v>50</v>
      </c>
      <c r="C26">
        <v>51</v>
      </c>
      <c r="D26" t="s">
        <v>131</v>
      </c>
      <c r="E26" s="69" t="s">
        <v>127</v>
      </c>
      <c r="F26" s="69" t="s">
        <v>129</v>
      </c>
      <c r="G26" s="69" t="s">
        <v>130</v>
      </c>
      <c r="H26" t="str">
        <f t="shared" si="0"/>
        <v>Y($G$50="",$H$50="",J51=0)+</v>
      </c>
    </row>
    <row r="27" spans="1:8" x14ac:dyDescent="0.3">
      <c r="A27">
        <v>52</v>
      </c>
      <c r="B27">
        <v>52</v>
      </c>
      <c r="C27">
        <v>53</v>
      </c>
      <c r="D27" t="s">
        <v>131</v>
      </c>
      <c r="E27" s="69" t="s">
        <v>127</v>
      </c>
      <c r="F27" s="69" t="s">
        <v>129</v>
      </c>
      <c r="G27" s="69" t="s">
        <v>130</v>
      </c>
      <c r="H27" t="str">
        <f t="shared" si="0"/>
        <v>Y($G$52="",$H$52="",J53=0)+</v>
      </c>
    </row>
    <row r="28" spans="1:8" x14ac:dyDescent="0.3">
      <c r="A28">
        <v>54</v>
      </c>
      <c r="B28">
        <v>54</v>
      </c>
      <c r="C28">
        <v>55</v>
      </c>
      <c r="D28" t="s">
        <v>131</v>
      </c>
      <c r="E28" s="69" t="s">
        <v>127</v>
      </c>
      <c r="F28" s="69" t="s">
        <v>129</v>
      </c>
      <c r="G28" s="69" t="s">
        <v>130</v>
      </c>
      <c r="H28" t="str">
        <f t="shared" si="0"/>
        <v>Y($G$54="",$H$54="",J55=0)+</v>
      </c>
    </row>
    <row r="29" spans="1:8" x14ac:dyDescent="0.3">
      <c r="A29">
        <v>56</v>
      </c>
      <c r="B29">
        <v>56</v>
      </c>
      <c r="C29">
        <v>57</v>
      </c>
      <c r="D29" t="s">
        <v>131</v>
      </c>
      <c r="E29" s="69" t="s">
        <v>127</v>
      </c>
      <c r="F29" s="69" t="s">
        <v>129</v>
      </c>
      <c r="G29" s="69" t="s">
        <v>130</v>
      </c>
      <c r="H29" t="str">
        <f t="shared" si="0"/>
        <v>Y($G$56="",$H$56="",J57=0)+</v>
      </c>
    </row>
    <row r="30" spans="1:8" x14ac:dyDescent="0.3">
      <c r="A30">
        <v>58</v>
      </c>
      <c r="B30">
        <v>58</v>
      </c>
      <c r="C30">
        <v>59</v>
      </c>
      <c r="D30" t="s">
        <v>131</v>
      </c>
      <c r="E30" s="69" t="s">
        <v>127</v>
      </c>
      <c r="F30" s="69" t="s">
        <v>129</v>
      </c>
      <c r="G30" s="69" t="s">
        <v>130</v>
      </c>
      <c r="H30" t="str">
        <f t="shared" si="0"/>
        <v>Y($G$58="",$H$58="",J59=0)+</v>
      </c>
    </row>
    <row r="31" spans="1:8" x14ac:dyDescent="0.3">
      <c r="A31">
        <v>60</v>
      </c>
      <c r="B31">
        <v>60</v>
      </c>
      <c r="C31">
        <v>61</v>
      </c>
      <c r="D31" t="s">
        <v>131</v>
      </c>
      <c r="E31" s="69" t="s">
        <v>127</v>
      </c>
      <c r="F31" s="69" t="s">
        <v>129</v>
      </c>
      <c r="G31" s="69" t="s">
        <v>130</v>
      </c>
      <c r="H31" t="str">
        <f t="shared" si="0"/>
        <v>Y($G$60="",$H$60="",J61=0)+</v>
      </c>
    </row>
    <row r="32" spans="1:8" x14ac:dyDescent="0.3">
      <c r="A32">
        <v>62</v>
      </c>
      <c r="B32">
        <v>62</v>
      </c>
      <c r="C32">
        <v>63</v>
      </c>
      <c r="D32" t="s">
        <v>131</v>
      </c>
      <c r="E32" s="69" t="s">
        <v>127</v>
      </c>
      <c r="F32" s="69" t="s">
        <v>129</v>
      </c>
      <c r="G32" s="69" t="s">
        <v>130</v>
      </c>
      <c r="H32" t="str">
        <f t="shared" si="0"/>
        <v>Y($G$62="",$H$62="",J63=0)+</v>
      </c>
    </row>
    <row r="33" spans="1:11" x14ac:dyDescent="0.3">
      <c r="A33">
        <v>64</v>
      </c>
      <c r="B33">
        <v>64</v>
      </c>
      <c r="C33">
        <v>65</v>
      </c>
      <c r="D33" t="s">
        <v>131</v>
      </c>
      <c r="E33" s="69" t="s">
        <v>127</v>
      </c>
      <c r="F33" s="69" t="s">
        <v>129</v>
      </c>
      <c r="G33" s="69" t="s">
        <v>130</v>
      </c>
      <c r="H33" t="str">
        <f t="shared" si="0"/>
        <v>Y($G$64="",$H$64="",J65=0)+</v>
      </c>
    </row>
    <row r="34" spans="1:11" x14ac:dyDescent="0.3">
      <c r="A34">
        <v>66</v>
      </c>
      <c r="B34">
        <v>66</v>
      </c>
      <c r="C34">
        <v>67</v>
      </c>
      <c r="D34" t="s">
        <v>131</v>
      </c>
      <c r="E34" s="69" t="s">
        <v>127</v>
      </c>
      <c r="F34" s="69" t="s">
        <v>129</v>
      </c>
      <c r="G34" s="69" t="s">
        <v>130</v>
      </c>
      <c r="H34" t="str">
        <f t="shared" si="0"/>
        <v>Y($G$66="",$H$66="",J67=0)+</v>
      </c>
    </row>
    <row r="35" spans="1:11" x14ac:dyDescent="0.3">
      <c r="A35">
        <v>68</v>
      </c>
      <c r="B35">
        <v>68</v>
      </c>
      <c r="C35">
        <v>69</v>
      </c>
      <c r="D35" t="s">
        <v>131</v>
      </c>
      <c r="E35" s="69" t="s">
        <v>127</v>
      </c>
      <c r="F35" s="69" t="s">
        <v>129</v>
      </c>
      <c r="G35" s="69" t="s">
        <v>130</v>
      </c>
      <c r="H35" t="str">
        <f t="shared" si="0"/>
        <v>Y($G$68="",$H$68="",J69=0)+</v>
      </c>
    </row>
    <row r="36" spans="1:11" x14ac:dyDescent="0.3">
      <c r="A36">
        <v>70</v>
      </c>
      <c r="B36">
        <v>70</v>
      </c>
      <c r="C36">
        <v>71</v>
      </c>
      <c r="D36" t="s">
        <v>131</v>
      </c>
      <c r="E36" s="69" t="s">
        <v>127</v>
      </c>
      <c r="F36" s="69" t="s">
        <v>129</v>
      </c>
      <c r="G36" s="69" t="s">
        <v>130</v>
      </c>
      <c r="H36" t="str">
        <f t="shared" si="0"/>
        <v>Y($G$70="",$H$70="",J71=0)+</v>
      </c>
    </row>
    <row r="37" spans="1:11" x14ac:dyDescent="0.3">
      <c r="A37">
        <v>72</v>
      </c>
      <c r="B37">
        <v>72</v>
      </c>
      <c r="C37">
        <v>73</v>
      </c>
      <c r="D37" t="s">
        <v>131</v>
      </c>
      <c r="E37" s="69" t="s">
        <v>127</v>
      </c>
      <c r="F37" s="69" t="s">
        <v>129</v>
      </c>
      <c r="G37" s="69" t="s">
        <v>130</v>
      </c>
      <c r="H37" t="str">
        <f t="shared" si="0"/>
        <v>Y($G$72="",$H$72="",J73=0)+</v>
      </c>
    </row>
    <row r="38" spans="1:11" x14ac:dyDescent="0.3">
      <c r="A38">
        <v>74</v>
      </c>
      <c r="B38">
        <v>74</v>
      </c>
      <c r="C38">
        <v>75</v>
      </c>
      <c r="D38" t="s">
        <v>131</v>
      </c>
      <c r="E38" s="69" t="s">
        <v>127</v>
      </c>
      <c r="F38" s="69" t="s">
        <v>129</v>
      </c>
      <c r="G38" s="69" t="s">
        <v>130</v>
      </c>
      <c r="H38" t="str">
        <f t="shared" si="0"/>
        <v>Y($G$74="",$H$74="",J75=0)+</v>
      </c>
    </row>
    <row r="39" spans="1:11" x14ac:dyDescent="0.3">
      <c r="A39">
        <v>76</v>
      </c>
      <c r="B39">
        <v>76</v>
      </c>
      <c r="C39">
        <v>77</v>
      </c>
      <c r="D39" t="s">
        <v>131</v>
      </c>
      <c r="E39" s="69" t="s">
        <v>127</v>
      </c>
      <c r="F39" s="69" t="s">
        <v>129</v>
      </c>
      <c r="G39" s="69" t="s">
        <v>130</v>
      </c>
      <c r="H39" t="str">
        <f t="shared" si="0"/>
        <v>Y($G$76="",$H$76="",J77=0)+</v>
      </c>
    </row>
    <row r="40" spans="1:11" x14ac:dyDescent="0.3">
      <c r="A40">
        <v>78</v>
      </c>
      <c r="B40">
        <v>78</v>
      </c>
      <c r="C40">
        <v>79</v>
      </c>
      <c r="D40" t="s">
        <v>131</v>
      </c>
      <c r="E40" s="69" t="s">
        <v>127</v>
      </c>
      <c r="F40" s="69" t="s">
        <v>129</v>
      </c>
      <c r="G40" s="69" t="s">
        <v>130</v>
      </c>
      <c r="H40" s="70" t="str">
        <f t="shared" si="0"/>
        <v>Y($G$78="",$H$78="",J79=0)+</v>
      </c>
    </row>
    <row r="41" spans="1:11" x14ac:dyDescent="0.3">
      <c r="A41">
        <v>80</v>
      </c>
      <c r="B41">
        <v>80</v>
      </c>
      <c r="C41">
        <v>81</v>
      </c>
      <c r="D41" t="s">
        <v>128</v>
      </c>
      <c r="E41" s="69" t="s">
        <v>127</v>
      </c>
      <c r="F41" s="69" t="s">
        <v>129</v>
      </c>
      <c r="G41" s="69" t="s">
        <v>130</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131</v>
      </c>
      <c r="E42" s="69" t="s">
        <v>127</v>
      </c>
      <c r="F42" s="69" t="s">
        <v>129</v>
      </c>
      <c r="G42" s="69" t="s">
        <v>130</v>
      </c>
      <c r="H42" t="str">
        <f t="shared" si="0"/>
        <v>Y($G$82="",$H$82="",J83=0)+</v>
      </c>
      <c r="K42" t="s">
        <v>133</v>
      </c>
    </row>
    <row r="43" spans="1:11" x14ac:dyDescent="0.3">
      <c r="A43">
        <v>84</v>
      </c>
      <c r="B43">
        <v>84</v>
      </c>
      <c r="C43">
        <v>85</v>
      </c>
      <c r="D43" t="s">
        <v>131</v>
      </c>
      <c r="E43" s="69" t="s">
        <v>127</v>
      </c>
      <c r="F43" s="69" t="s">
        <v>129</v>
      </c>
      <c r="G43" s="69" t="s">
        <v>130</v>
      </c>
      <c r="H43" t="str">
        <f t="shared" si="0"/>
        <v>Y($G$84="",$H$84="",J85=0)+</v>
      </c>
    </row>
    <row r="44" spans="1:11" x14ac:dyDescent="0.3">
      <c r="A44">
        <v>86</v>
      </c>
      <c r="B44">
        <v>86</v>
      </c>
      <c r="C44">
        <v>87</v>
      </c>
      <c r="D44" t="s">
        <v>131</v>
      </c>
      <c r="E44" s="69" t="s">
        <v>127</v>
      </c>
      <c r="F44" s="69" t="s">
        <v>129</v>
      </c>
      <c r="G44" s="69" t="s">
        <v>130</v>
      </c>
      <c r="H44" t="str">
        <f t="shared" si="0"/>
        <v>Y($G$86="",$H$86="",J87=0)+</v>
      </c>
    </row>
    <row r="45" spans="1:11" x14ac:dyDescent="0.3">
      <c r="A45">
        <v>88</v>
      </c>
      <c r="B45">
        <v>88</v>
      </c>
      <c r="C45">
        <v>89</v>
      </c>
      <c r="D45" t="s">
        <v>131</v>
      </c>
      <c r="E45" s="69" t="s">
        <v>127</v>
      </c>
      <c r="F45" s="69" t="s">
        <v>129</v>
      </c>
      <c r="G45" s="69" t="s">
        <v>130</v>
      </c>
      <c r="H45" t="str">
        <f t="shared" si="0"/>
        <v>Y($G$88="",$H$88="",J89=0)+</v>
      </c>
    </row>
    <row r="46" spans="1:11" x14ac:dyDescent="0.3">
      <c r="A46">
        <v>90</v>
      </c>
      <c r="B46">
        <v>90</v>
      </c>
      <c r="C46">
        <v>91</v>
      </c>
      <c r="D46" t="s">
        <v>131</v>
      </c>
      <c r="E46" s="69" t="s">
        <v>127</v>
      </c>
      <c r="F46" s="69" t="s">
        <v>129</v>
      </c>
      <c r="G46" s="69" t="s">
        <v>130</v>
      </c>
      <c r="H46" t="str">
        <f t="shared" si="0"/>
        <v>Y($G$90="",$H$90="",J91=0)+</v>
      </c>
    </row>
    <row r="47" spans="1:11" x14ac:dyDescent="0.3">
      <c r="A47">
        <v>92</v>
      </c>
      <c r="B47">
        <v>92</v>
      </c>
      <c r="C47">
        <v>93</v>
      </c>
      <c r="D47" t="s">
        <v>131</v>
      </c>
      <c r="E47" s="69" t="s">
        <v>127</v>
      </c>
      <c r="F47" s="69" t="s">
        <v>129</v>
      </c>
      <c r="G47" s="69" t="s">
        <v>130</v>
      </c>
      <c r="H47" t="str">
        <f t="shared" si="0"/>
        <v>Y($G$92="",$H$92="",J93=0)+</v>
      </c>
    </row>
    <row r="48" spans="1:11" x14ac:dyDescent="0.3">
      <c r="A48">
        <v>94</v>
      </c>
      <c r="B48">
        <v>94</v>
      </c>
      <c r="C48">
        <v>95</v>
      </c>
      <c r="D48" t="s">
        <v>131</v>
      </c>
      <c r="E48" s="69" t="s">
        <v>127</v>
      </c>
      <c r="F48" s="69" t="s">
        <v>129</v>
      </c>
      <c r="G48" s="69" t="s">
        <v>130</v>
      </c>
      <c r="H48" t="str">
        <f t="shared" si="0"/>
        <v>Y($G$94="",$H$94="",J95=0)+</v>
      </c>
    </row>
    <row r="49" spans="1:8" x14ac:dyDescent="0.3">
      <c r="A49">
        <v>96</v>
      </c>
      <c r="B49">
        <v>96</v>
      </c>
      <c r="C49">
        <v>97</v>
      </c>
      <c r="D49" t="s">
        <v>131</v>
      </c>
      <c r="E49" s="69" t="s">
        <v>127</v>
      </c>
      <c r="F49" s="69" t="s">
        <v>129</v>
      </c>
      <c r="G49" s="69" t="s">
        <v>130</v>
      </c>
      <c r="H49" t="str">
        <f t="shared" si="0"/>
        <v>Y($G$96="",$H$96="",J97=0)+</v>
      </c>
    </row>
    <row r="50" spans="1:8" x14ac:dyDescent="0.3">
      <c r="A50">
        <v>98</v>
      </c>
      <c r="B50">
        <v>98</v>
      </c>
      <c r="C50">
        <v>99</v>
      </c>
      <c r="D50" t="s">
        <v>131</v>
      </c>
      <c r="E50" s="69" t="s">
        <v>127</v>
      </c>
      <c r="F50" s="69" t="s">
        <v>129</v>
      </c>
      <c r="G50" s="69" t="s">
        <v>130</v>
      </c>
      <c r="H50" t="str">
        <f t="shared" si="0"/>
        <v>Y($G$98="",$H$98="",J99=0)+</v>
      </c>
    </row>
    <row r="51" spans="1:8" x14ac:dyDescent="0.3">
      <c r="A51">
        <v>100</v>
      </c>
      <c r="B51">
        <v>100</v>
      </c>
      <c r="C51">
        <v>101</v>
      </c>
      <c r="D51" t="s">
        <v>131</v>
      </c>
      <c r="E51" s="69" t="s">
        <v>127</v>
      </c>
      <c r="F51" s="69" t="s">
        <v>129</v>
      </c>
      <c r="G51" s="69" t="s">
        <v>130</v>
      </c>
      <c r="H51" t="str">
        <f t="shared" si="0"/>
        <v>Y($G$100="",$H$100="",J101=0)+</v>
      </c>
    </row>
    <row r="52" spans="1:8" x14ac:dyDescent="0.3">
      <c r="A52">
        <v>102</v>
      </c>
      <c r="B52">
        <v>102</v>
      </c>
      <c r="C52">
        <v>103</v>
      </c>
      <c r="D52" t="s">
        <v>131</v>
      </c>
      <c r="E52" s="69" t="s">
        <v>127</v>
      </c>
      <c r="F52" s="69" t="s">
        <v>129</v>
      </c>
      <c r="G52" s="69" t="s">
        <v>130</v>
      </c>
      <c r="H52" t="str">
        <f t="shared" si="0"/>
        <v>Y($G$102="",$H$102="",J103=0)+</v>
      </c>
    </row>
    <row r="53" spans="1:8" x14ac:dyDescent="0.3">
      <c r="A53">
        <v>104</v>
      </c>
      <c r="B53">
        <v>104</v>
      </c>
      <c r="C53">
        <v>105</v>
      </c>
      <c r="D53" t="s">
        <v>131</v>
      </c>
      <c r="E53" s="69" t="s">
        <v>127</v>
      </c>
      <c r="F53" s="69" t="s">
        <v>129</v>
      </c>
      <c r="G53" s="69" t="s">
        <v>130</v>
      </c>
      <c r="H53" t="str">
        <f t="shared" si="0"/>
        <v>Y($G$104="",$H$104="",J105=0)+</v>
      </c>
    </row>
    <row r="54" spans="1:8" x14ac:dyDescent="0.3">
      <c r="A54">
        <v>106</v>
      </c>
      <c r="B54">
        <v>106</v>
      </c>
      <c r="C54">
        <v>107</v>
      </c>
      <c r="D54" t="s">
        <v>131</v>
      </c>
      <c r="E54" s="69" t="s">
        <v>127</v>
      </c>
      <c r="F54" s="69" t="s">
        <v>129</v>
      </c>
      <c r="G54" s="69" t="s">
        <v>130</v>
      </c>
      <c r="H54" t="str">
        <f t="shared" si="0"/>
        <v>Y($G$106="",$H$106="",J107=0)+</v>
      </c>
    </row>
    <row r="55" spans="1:8" x14ac:dyDescent="0.3">
      <c r="A55">
        <v>108</v>
      </c>
      <c r="B55">
        <v>108</v>
      </c>
      <c r="C55">
        <v>109</v>
      </c>
      <c r="D55" t="s">
        <v>131</v>
      </c>
      <c r="E55" s="69" t="s">
        <v>127</v>
      </c>
      <c r="F55" s="69" t="s">
        <v>129</v>
      </c>
      <c r="G55" s="69" t="s">
        <v>130</v>
      </c>
      <c r="H55" t="str">
        <f t="shared" si="0"/>
        <v>Y($G$108="",$H$108="",J109=0)+</v>
      </c>
    </row>
    <row r="56" spans="1:8" x14ac:dyDescent="0.3">
      <c r="A56">
        <v>110</v>
      </c>
      <c r="B56">
        <v>110</v>
      </c>
      <c r="C56">
        <v>111</v>
      </c>
      <c r="D56" t="s">
        <v>131</v>
      </c>
      <c r="E56" s="69" t="s">
        <v>127</v>
      </c>
      <c r="F56" s="69" t="s">
        <v>129</v>
      </c>
      <c r="G56" s="69" t="s">
        <v>130</v>
      </c>
      <c r="H56" t="str">
        <f t="shared" si="0"/>
        <v>Y($G$110="",$H$110="",J111=0)+</v>
      </c>
    </row>
    <row r="57" spans="1:8" x14ac:dyDescent="0.3">
      <c r="A57">
        <v>112</v>
      </c>
      <c r="B57">
        <v>112</v>
      </c>
      <c r="C57">
        <v>113</v>
      </c>
      <c r="D57" t="s">
        <v>131</v>
      </c>
      <c r="E57" s="69" t="s">
        <v>127</v>
      </c>
      <c r="F57" s="69" t="s">
        <v>129</v>
      </c>
      <c r="G57" s="69" t="s">
        <v>130</v>
      </c>
      <c r="H57" t="str">
        <f t="shared" si="0"/>
        <v>Y($G$112="",$H$112="",J113=0)+</v>
      </c>
    </row>
    <row r="58" spans="1:8" x14ac:dyDescent="0.3">
      <c r="A58">
        <v>114</v>
      </c>
      <c r="B58">
        <v>114</v>
      </c>
      <c r="C58">
        <v>115</v>
      </c>
      <c r="D58" t="s">
        <v>131</v>
      </c>
      <c r="E58" s="69" t="s">
        <v>127</v>
      </c>
      <c r="F58" s="69" t="s">
        <v>129</v>
      </c>
      <c r="G58" s="69" t="s">
        <v>130</v>
      </c>
      <c r="H58" t="str">
        <f t="shared" si="0"/>
        <v>Y($G$114="",$H$114="",J115=0)+</v>
      </c>
    </row>
    <row r="59" spans="1:8" x14ac:dyDescent="0.3">
      <c r="A59">
        <v>116</v>
      </c>
      <c r="B59">
        <v>116</v>
      </c>
      <c r="C59">
        <v>117</v>
      </c>
      <c r="D59" t="s">
        <v>131</v>
      </c>
      <c r="E59" s="69" t="s">
        <v>127</v>
      </c>
      <c r="F59" s="69" t="s">
        <v>129</v>
      </c>
      <c r="G59" s="69" t="s">
        <v>130</v>
      </c>
      <c r="H59" t="str">
        <f t="shared" si="0"/>
        <v>Y($G$116="",$H$116="",J117=0)+</v>
      </c>
    </row>
    <row r="60" spans="1:8" x14ac:dyDescent="0.3">
      <c r="A60">
        <v>118</v>
      </c>
      <c r="B60">
        <v>118</v>
      </c>
      <c r="C60">
        <v>119</v>
      </c>
      <c r="D60" t="s">
        <v>131</v>
      </c>
      <c r="E60" s="69" t="s">
        <v>127</v>
      </c>
      <c r="F60" s="69" t="s">
        <v>129</v>
      </c>
      <c r="G60" s="69" t="s">
        <v>130</v>
      </c>
      <c r="H60" t="str">
        <f t="shared" si="0"/>
        <v>Y($G$118="",$H$118="",J119=0)+</v>
      </c>
    </row>
    <row r="61" spans="1:8" x14ac:dyDescent="0.3">
      <c r="A61">
        <v>120</v>
      </c>
      <c r="B61">
        <v>120</v>
      </c>
      <c r="C61">
        <v>121</v>
      </c>
      <c r="D61" t="s">
        <v>131</v>
      </c>
      <c r="E61" s="69" t="s">
        <v>127</v>
      </c>
      <c r="F61" s="69" t="s">
        <v>129</v>
      </c>
      <c r="G61" s="69" t="s">
        <v>130</v>
      </c>
      <c r="H61" t="str">
        <f t="shared" si="0"/>
        <v>Y($G$120="",$H$120="",J121=0)+</v>
      </c>
    </row>
    <row r="62" spans="1:8" x14ac:dyDescent="0.3">
      <c r="A62">
        <v>122</v>
      </c>
      <c r="B62">
        <v>122</v>
      </c>
      <c r="C62">
        <v>123</v>
      </c>
      <c r="D62" t="s">
        <v>131</v>
      </c>
      <c r="E62" s="69" t="s">
        <v>127</v>
      </c>
      <c r="F62" s="69" t="s">
        <v>129</v>
      </c>
      <c r="G62" s="69" t="s">
        <v>130</v>
      </c>
      <c r="H62" t="str">
        <f t="shared" si="0"/>
        <v>Y($G$122="",$H$122="",J123=0)+</v>
      </c>
    </row>
    <row r="63" spans="1:8" x14ac:dyDescent="0.3">
      <c r="A63">
        <v>124</v>
      </c>
      <c r="B63">
        <v>124</v>
      </c>
      <c r="C63">
        <v>125</v>
      </c>
      <c r="D63" t="s">
        <v>131</v>
      </c>
      <c r="E63" s="69" t="s">
        <v>127</v>
      </c>
      <c r="F63" s="69" t="s">
        <v>129</v>
      </c>
      <c r="G63" s="69" t="s">
        <v>130</v>
      </c>
      <c r="H63" t="str">
        <f t="shared" si="0"/>
        <v>Y($G$124="",$H$124="",J125=0)+</v>
      </c>
    </row>
    <row r="64" spans="1:8" x14ac:dyDescent="0.3">
      <c r="A64">
        <v>126</v>
      </c>
      <c r="B64">
        <v>126</v>
      </c>
      <c r="C64">
        <v>127</v>
      </c>
      <c r="D64" t="s">
        <v>131</v>
      </c>
      <c r="E64" s="69" t="s">
        <v>127</v>
      </c>
      <c r="F64" s="69" t="s">
        <v>129</v>
      </c>
      <c r="G64" s="69" t="s">
        <v>130</v>
      </c>
      <c r="H64" t="str">
        <f t="shared" si="0"/>
        <v>Y($G$126="",$H$126="",J127=0)+</v>
      </c>
    </row>
    <row r="65" spans="1:8" x14ac:dyDescent="0.3">
      <c r="A65">
        <v>128</v>
      </c>
      <c r="B65">
        <v>128</v>
      </c>
      <c r="C65">
        <v>129</v>
      </c>
      <c r="D65" t="s">
        <v>131</v>
      </c>
      <c r="E65" s="69" t="s">
        <v>127</v>
      </c>
      <c r="F65" s="69" t="s">
        <v>129</v>
      </c>
      <c r="G65" s="69" t="s">
        <v>130</v>
      </c>
      <c r="H65" t="str">
        <f t="shared" si="0"/>
        <v>Y($G$128="",$H$128="",J129=0)+</v>
      </c>
    </row>
    <row r="66" spans="1:8" x14ac:dyDescent="0.3">
      <c r="A66">
        <v>130</v>
      </c>
      <c r="B66">
        <v>130</v>
      </c>
      <c r="C66">
        <v>131</v>
      </c>
      <c r="D66" t="s">
        <v>131</v>
      </c>
      <c r="E66" s="69" t="s">
        <v>127</v>
      </c>
      <c r="F66" s="69" t="s">
        <v>129</v>
      </c>
      <c r="G66" s="69" t="s">
        <v>130</v>
      </c>
      <c r="H66" t="str">
        <f t="shared" si="0"/>
        <v>Y($G$130="",$H$130="",J131=0)+</v>
      </c>
    </row>
    <row r="67" spans="1:8" x14ac:dyDescent="0.3">
      <c r="A67">
        <v>132</v>
      </c>
      <c r="B67">
        <v>132</v>
      </c>
      <c r="C67">
        <v>133</v>
      </c>
      <c r="D67" t="s">
        <v>131</v>
      </c>
      <c r="E67" s="69" t="s">
        <v>127</v>
      </c>
      <c r="F67" s="69" t="s">
        <v>129</v>
      </c>
      <c r="G67" s="69" t="s">
        <v>130</v>
      </c>
      <c r="H67" t="str">
        <f t="shared" si="0"/>
        <v>Y($G$132="",$H$132="",J133=0)+</v>
      </c>
    </row>
    <row r="68" spans="1:8" x14ac:dyDescent="0.3">
      <c r="A68">
        <v>134</v>
      </c>
      <c r="B68">
        <v>134</v>
      </c>
      <c r="C68">
        <v>135</v>
      </c>
      <c r="D68" t="s">
        <v>131</v>
      </c>
      <c r="E68" s="69" t="s">
        <v>127</v>
      </c>
      <c r="F68" s="69" t="s">
        <v>129</v>
      </c>
      <c r="G68" s="69" t="s">
        <v>130</v>
      </c>
      <c r="H68" t="str">
        <f t="shared" si="0"/>
        <v>Y($G$134="",$H$134="",J135=0)+</v>
      </c>
    </row>
    <row r="69" spans="1:8" x14ac:dyDescent="0.3">
      <c r="A69">
        <v>136</v>
      </c>
      <c r="B69">
        <v>136</v>
      </c>
      <c r="C69">
        <v>137</v>
      </c>
      <c r="D69" t="s">
        <v>131</v>
      </c>
      <c r="E69" s="69" t="s">
        <v>127</v>
      </c>
      <c r="F69" s="69" t="s">
        <v>129</v>
      </c>
      <c r="G69" s="69" t="s">
        <v>130</v>
      </c>
      <c r="H69" t="str">
        <f t="shared" si="0"/>
        <v>Y($G$136="",$H$136="",J137=0)+</v>
      </c>
    </row>
    <row r="70" spans="1:8" x14ac:dyDescent="0.3">
      <c r="A70">
        <v>138</v>
      </c>
      <c r="B70">
        <v>138</v>
      </c>
      <c r="C70">
        <v>139</v>
      </c>
      <c r="D70" t="s">
        <v>131</v>
      </c>
      <c r="E70" s="69" t="s">
        <v>127</v>
      </c>
      <c r="F70" s="69" t="s">
        <v>129</v>
      </c>
      <c r="G70" s="69" t="s">
        <v>130</v>
      </c>
      <c r="H70" t="str">
        <f t="shared" ref="H70:H76" si="1">CONCATENATE(D70,A70,E70,B70,F70,C70,G70)</f>
        <v>Y($G$138="",$H$138="",J139=0)+</v>
      </c>
    </row>
    <row r="71" spans="1:8" x14ac:dyDescent="0.3">
      <c r="A71">
        <v>140</v>
      </c>
      <c r="B71">
        <v>140</v>
      </c>
      <c r="C71">
        <v>141</v>
      </c>
      <c r="D71" t="s">
        <v>131</v>
      </c>
      <c r="E71" s="69" t="s">
        <v>127</v>
      </c>
      <c r="F71" s="69" t="s">
        <v>129</v>
      </c>
      <c r="G71" s="69" t="s">
        <v>130</v>
      </c>
      <c r="H71" t="str">
        <f t="shared" si="1"/>
        <v>Y($G$140="",$H$140="",J141=0)+</v>
      </c>
    </row>
    <row r="72" spans="1:8" x14ac:dyDescent="0.3">
      <c r="A72">
        <v>142</v>
      </c>
      <c r="B72">
        <v>142</v>
      </c>
      <c r="C72">
        <v>143</v>
      </c>
      <c r="D72" t="s">
        <v>131</v>
      </c>
      <c r="E72" s="69" t="s">
        <v>127</v>
      </c>
      <c r="F72" s="69" t="s">
        <v>129</v>
      </c>
      <c r="G72" s="69" t="s">
        <v>130</v>
      </c>
      <c r="H72" t="str">
        <f t="shared" si="1"/>
        <v>Y($G$142="",$H$142="",J143=0)+</v>
      </c>
    </row>
    <row r="73" spans="1:8" x14ac:dyDescent="0.3">
      <c r="A73">
        <v>144</v>
      </c>
      <c r="B73">
        <v>144</v>
      </c>
      <c r="C73">
        <v>145</v>
      </c>
      <c r="D73" t="s">
        <v>131</v>
      </c>
      <c r="E73" s="69" t="s">
        <v>127</v>
      </c>
      <c r="F73" s="69" t="s">
        <v>129</v>
      </c>
      <c r="G73" s="69" t="s">
        <v>130</v>
      </c>
      <c r="H73" t="str">
        <f t="shared" si="1"/>
        <v>Y($G$144="",$H$144="",J145=0)+</v>
      </c>
    </row>
    <row r="74" spans="1:8" x14ac:dyDescent="0.3">
      <c r="A74">
        <v>146</v>
      </c>
      <c r="B74">
        <v>146</v>
      </c>
      <c r="C74">
        <v>147</v>
      </c>
      <c r="D74" t="s">
        <v>131</v>
      </c>
      <c r="E74" s="69" t="s">
        <v>127</v>
      </c>
      <c r="F74" s="69" t="s">
        <v>129</v>
      </c>
      <c r="G74" s="69" t="s">
        <v>130</v>
      </c>
      <c r="H74" t="str">
        <f t="shared" si="1"/>
        <v>Y($G$146="",$H$146="",J147=0)+</v>
      </c>
    </row>
    <row r="75" spans="1:8" x14ac:dyDescent="0.3">
      <c r="A75">
        <v>148</v>
      </c>
      <c r="B75">
        <v>148</v>
      </c>
      <c r="C75">
        <v>149</v>
      </c>
      <c r="D75" t="s">
        <v>131</v>
      </c>
      <c r="E75" s="69" t="s">
        <v>127</v>
      </c>
      <c r="F75" s="69" t="s">
        <v>129</v>
      </c>
      <c r="G75" s="69" t="s">
        <v>130</v>
      </c>
      <c r="H75" t="str">
        <f t="shared" si="1"/>
        <v>Y($G$148="",$H$148="",J149=0)+</v>
      </c>
    </row>
    <row r="76" spans="1:8" x14ac:dyDescent="0.3">
      <c r="A76">
        <v>150</v>
      </c>
      <c r="B76">
        <v>150</v>
      </c>
      <c r="C76">
        <v>151</v>
      </c>
      <c r="D76" t="s">
        <v>131</v>
      </c>
      <c r="E76" s="69" t="s">
        <v>127</v>
      </c>
      <c r="F76" s="69" t="s">
        <v>129</v>
      </c>
      <c r="G76" s="69" t="s">
        <v>130</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J65"/>
  <sheetViews>
    <sheetView showGridLines="0" tabSelected="1" zoomScale="80" zoomScaleNormal="80" workbookViewId="0">
      <pane xSplit="8" ySplit="3" topLeftCell="I13" activePane="bottomRight" state="frozen"/>
      <selection pane="topRight" activeCell="G1" sqref="G1"/>
      <selection pane="bottomLeft" activeCell="A4" sqref="A4"/>
      <selection pane="bottomRight" activeCell="I2" sqref="I2:AB3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20.6640625" style="3" customWidth="1"/>
    <col min="6" max="7" width="6.109375" style="3" customWidth="1"/>
    <col min="8" max="8" width="15.44140625" style="3" customWidth="1"/>
    <col min="9" max="9" width="3.44140625" style="3" bestFit="1" customWidth="1"/>
    <col min="10" max="11" width="5.5546875" style="3" bestFit="1" customWidth="1"/>
    <col min="12" max="12" width="7.6640625" style="3" bestFit="1" customWidth="1"/>
    <col min="13" max="13" width="5.5546875" style="3" bestFit="1" customWidth="1"/>
    <col min="14" max="14" width="3.44140625" style="3" bestFit="1" customWidth="1"/>
    <col min="15" max="15" width="5.5546875" style="3" bestFit="1" customWidth="1"/>
    <col min="16" max="16" width="7.6640625" style="3" bestFit="1" customWidth="1"/>
    <col min="17" max="18" width="5.5546875" style="3" bestFit="1" customWidth="1"/>
    <col min="19" max="19" width="4.109375" style="3" bestFit="1" customWidth="1"/>
    <col min="20" max="21" width="7.6640625" style="3" bestFit="1" customWidth="1"/>
    <col min="22" max="22" width="5.5546875" style="3" bestFit="1" customWidth="1"/>
    <col min="23" max="23" width="4.109375" style="3" bestFit="1" customWidth="1"/>
    <col min="24" max="24" width="5.5546875" style="3" bestFit="1" customWidth="1"/>
    <col min="25" max="26" width="4.109375" style="3" bestFit="1" customWidth="1"/>
    <col min="27" max="27" width="5.5546875" style="3" bestFit="1" customWidth="1"/>
    <col min="28" max="28" width="4.109375" style="3" bestFit="1" customWidth="1"/>
    <col min="29" max="34" width="11.44140625" style="3"/>
    <col min="35" max="36" width="11.44140625" style="3" hidden="1" customWidth="1"/>
    <col min="37" max="16384" width="11.44140625" style="3"/>
  </cols>
  <sheetData>
    <row r="1" spans="1:36" ht="37.5" customHeight="1" thickBot="1" x14ac:dyDescent="0.35">
      <c r="A1" s="109" t="s">
        <v>28</v>
      </c>
      <c r="B1" s="109"/>
      <c r="C1" s="109"/>
      <c r="D1" s="109"/>
      <c r="E1" s="109"/>
      <c r="F1" s="109"/>
      <c r="G1" s="109"/>
      <c r="H1" s="109"/>
      <c r="I1" s="44">
        <v>1</v>
      </c>
      <c r="J1" s="34">
        <v>2</v>
      </c>
      <c r="K1" s="34">
        <v>3</v>
      </c>
      <c r="L1" s="34">
        <v>4</v>
      </c>
      <c r="M1" s="34">
        <v>5</v>
      </c>
      <c r="N1" s="34">
        <v>6</v>
      </c>
      <c r="O1" s="34">
        <v>7</v>
      </c>
      <c r="P1" s="34">
        <v>8</v>
      </c>
      <c r="Q1" s="34">
        <v>9</v>
      </c>
      <c r="R1" s="34">
        <v>10</v>
      </c>
      <c r="S1" s="34">
        <v>11</v>
      </c>
      <c r="T1" s="37">
        <v>12</v>
      </c>
      <c r="U1" s="37">
        <v>13</v>
      </c>
      <c r="V1" s="37">
        <v>14</v>
      </c>
      <c r="W1" s="37">
        <v>15</v>
      </c>
      <c r="X1" s="37">
        <v>16</v>
      </c>
      <c r="Y1" s="37">
        <v>17</v>
      </c>
      <c r="Z1" s="37">
        <v>18</v>
      </c>
      <c r="AA1" s="37">
        <v>19</v>
      </c>
      <c r="AB1" s="37">
        <v>20</v>
      </c>
    </row>
    <row r="2" spans="1:36" ht="132.75" customHeight="1" thickTop="1" x14ac:dyDescent="0.3">
      <c r="A2" s="40"/>
      <c r="B2" s="40"/>
      <c r="C2" s="40"/>
      <c r="D2" s="40"/>
      <c r="E2" s="41"/>
      <c r="F2" s="110"/>
      <c r="G2" s="110"/>
      <c r="H2" s="111"/>
      <c r="I2" s="45" t="str">
        <f>'FIFA 2026'!AB2</f>
        <v>NISH G</v>
      </c>
      <c r="J2" s="35" t="str">
        <f>'FIFA 2026'!M2</f>
        <v>Mario Barona</v>
      </c>
      <c r="K2" s="36" t="str">
        <f>'FIFA 2026'!X2</f>
        <v>EDER R. GARCIA COVARRUBIAS</v>
      </c>
      <c r="L2" s="36" t="str">
        <f>'FIFA 2026'!U2</f>
        <v>Jesús Lauder</v>
      </c>
      <c r="M2" s="36" t="str">
        <f>'FIFA 2026'!AA2</f>
        <v>Alex Spartan</v>
      </c>
      <c r="N2" s="36" t="str">
        <f>'FIFA 2026'!K2</f>
        <v>JUAN DE SAN. RODRIGUEZ</v>
      </c>
      <c r="O2" s="36" t="str">
        <f>'FIFA 2026'!P2</f>
        <v>Alex Valdés</v>
      </c>
      <c r="P2" s="36" t="str">
        <f>'FIFA 2026'!Z2</f>
        <v>Geovanni Pinto</v>
      </c>
      <c r="Q2" s="36" t="str">
        <f>'FIFA 2026'!O2</f>
        <v>Raúl Santillán</v>
      </c>
      <c r="R2" s="36" t="str">
        <f>'FIFA 2026'!Y2</f>
        <v>REYNA TELLEZ</v>
      </c>
      <c r="S2" s="36" t="str">
        <f>'FIFA 2026'!V2</f>
        <v>LIMON</v>
      </c>
      <c r="T2" s="36" t="str">
        <f>'FIFA 2026'!T2</f>
        <v>Pedro Ocio</v>
      </c>
      <c r="U2" s="36" t="str">
        <f>'FIFA 2026'!R2</f>
        <v>Manuel Guillén</v>
      </c>
      <c r="V2" s="36" t="str">
        <f>'FIFA 2026'!J2</f>
        <v>Mario Alberto Pérez</v>
      </c>
      <c r="W2" s="36" t="str">
        <f>'FIFA 2026'!AC2</f>
        <v>JUAN DE SAN. VAZQUEZ</v>
      </c>
      <c r="X2" s="36" t="str">
        <f>'FIFA 2026'!N2</f>
        <v>Mario  Valdés</v>
      </c>
      <c r="Y2" s="36" t="str">
        <f>'FIFA 2026'!Q2</f>
        <v>Silvia</v>
      </c>
      <c r="Z2" s="36" t="str">
        <f>'FIFA 2026'!L2</f>
        <v>MYRIAM LUGO</v>
      </c>
      <c r="AA2" s="36" t="str">
        <f>'FIFA 2026'!S2</f>
        <v>LUIS SALVADOR</v>
      </c>
      <c r="AB2" s="95" t="str">
        <f>'FIFA 2026'!W2</f>
        <v>JOANNA LARA</v>
      </c>
    </row>
    <row r="3" spans="1:36" ht="28.8" x14ac:dyDescent="0.3">
      <c r="A3" s="6" t="s">
        <v>0</v>
      </c>
      <c r="B3" s="6" t="s">
        <v>73</v>
      </c>
      <c r="C3" s="6" t="s">
        <v>78</v>
      </c>
      <c r="D3" s="6" t="s">
        <v>5</v>
      </c>
      <c r="E3" s="6" t="s">
        <v>6</v>
      </c>
      <c r="F3" s="112" t="s">
        <v>74</v>
      </c>
      <c r="G3" s="11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31</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29</v>
      </c>
      <c r="K3" s="6">
        <f>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29</v>
      </c>
      <c r="L3" s="6">
        <f>SUM(IF(L4=$H$4,3,0)+IF(L5=$F4+$G4,1,0)+IF(L6=$H$6,3,0)+IF(L7=$F6+$G6,1,0)+IF(L8=$H$8,3,0)+IF(L9=$F8+$G8,1,0)+IF(L10=$H$10,3,0)+IF(L11=$F10+$G10,1,0)
+IF(L12=$H$12,3,0)+IF(L13=$F12+$G12,1,0)+IF(L14=$H$14,3,0)+IF(L15=$F14+$G14,1,0)+IF(L16=$H$16,3,0)+IF(L17=$F16+$G16,1,0)+IF(L18=$H$18,3,0)+IF(L19=$F18+$G18,1,0)+IF(L20=$H$20,3,0)+IF(L21=$F20+$G20,1,0)+IF(L22=$H$22,3,0)+IF(L23=$F22+$G22,1,0)+IF(L24=$H$24,3,0)+IF(L25=$F24+$G24,1,0)+IF(L26=$H$26,3,0)+IF(L27=$F26+$G26,1,0)+IF(L28=$H$28,3,0)+IF(L29=$F28+$G28,1,0)+IF(L30=$H$30,3,0)+IF(L31=$F30+$G30,1,0)+IF(L32=$H$32,3,0)+IF(L33=$F32+$G32,1,0)+IF(L34=$H$34,3,0)+IF(L35=$F34+$G34,1,0))</f>
        <v>28</v>
      </c>
      <c r="M3" s="6">
        <f>SUM(IF(M4=$H$4,3,0)+IF(M5=$F4+$G4,1,0)+IF(M6=$H$6,3,0)+IF(M7=$F6+$G6,1,0)+IF(M8=$H$8,3,0)+IF(M9=$F8+$G8,1,0)+IF(M10=$H$10,3,0)+IF(M11=$F10+$G10,1,0)
+IF(M12=$H$12,3,0)+IF(M13=$F12+$G12,1,0)+IF(M14=$H$14,3,0)+IF(M15=$F14+$G14,1,0)+IF(M16=$H$16,3,0)+IF(M17=$F16+$G16,1,0)+IF(M18=$H$18,3,0)+IF(M19=$F18+$G18,1,0)+IF(M20=$H$20,3,0)+IF(M21=$F20+$G20,1,0)+IF(M22=$H$22,3,0)+IF(M23=$F22+$G22,1,0)+IF(M24=$H$24,3,0)+IF(M25=$F24+$G24,1,0)+IF(M26=$H$26,3,0)+IF(M27=$F26+$G26,1,0)+IF(M28=$H$28,3,0)+IF(M29=$F28+$G28,1,0)+IF(M30=$H$30,3,0)+IF(M31=$F30+$G30,1,0)+IF(M32=$H$32,3,0)+IF(M33=$F32+$G32,1,0)+IF(M34=$H$34,3,0)+IF(M35=$F34+$G34,1,0))</f>
        <v>28</v>
      </c>
      <c r="N3" s="6">
        <f>SUM(IF(N4=$H$4,3,0)+IF(N5=$F4+$G4,1,0)+IF(N6=$H$6,3,0)+IF(N7=$F6+$G6,1,0)+IF(N8=$H$8,3,0)+IF(N9=$F8+$G8,1,0)+IF(N10=$H$10,3,0)+IF(N11=$F10+$G10,1,0)
+IF(N12=$H$12,3,0)+IF(N13=$F12+$G12,1,0)+IF(N14=$H$14,3,0)+IF(N15=$F14+$G14,1,0)+IF(N16=$H$16,3,0)+IF(N17=$F16+$G16,1,0)+IF(N18=$H$18,3,0)+IF(N19=$F18+$G18,1,0)+IF(N20=$H$20,3,0)+IF(N21=$F20+$G20,1,0)+IF(N22=$H$22,3,0)+IF(N23=$F22+$G22,1,0)+IF(N24=$H$24,3,0)+IF(N25=$F24+$G24,1,0)+IF(N26=$H$26,3,0)+IF(N27=$F26+$G26,1,0)+IF(N28=$H$28,3,0)+IF(N29=$F28+$G28,1,0)+IF(N30=$H$30,3,0)+IF(N31=$F30+$G30,1,0)+IF(N32=$H$32,3,0)+IF(N33=$F32+$G32,1,0)+IF(N34=$H$34,3,0)+IF(N35=$F34+$G34,1,0))</f>
        <v>27</v>
      </c>
      <c r="O3" s="6">
        <f>SUM(IF(O4=$H$4,3,0)+IF(O5=$F4+$G4,1,0)+IF(O6=$H$6,3,0)+IF(O7=$F6+$G6,1,0)+IF(O8=$H$8,3,0)+IF(O9=$F8+$G8,1,0)+IF(O10=$H$10,3,0)+IF(O11=$F10+$G10,1,0)
+IF(O12=$H$12,3,0)+IF(O13=$F12+$G12,1,0)+IF(O14=$H$14,3,0)+IF(O15=$F14+$G14,1,0)+IF(O16=$H$16,3,0)+IF(O17=$F16+$G16,1,0)+IF(O18=$H$18,3,0)+IF(O19=$F18+$G18,1,0)+IF(O20=$H$20,3,0)+IF(O21=$F20+$G20,1,0)+IF(O22=$H$22,3,0)+IF(O23=$F22+$G22,1,0)+IF(O24=$H$24,3,0)+IF(O25=$F24+$G24,1,0)+IF(O26=$H$26,3,0)+IF(O27=$F26+$G26,1,0)+IF(O28=$H$28,3,0)+IF(O29=$F28+$G28,1,0)+IF(O30=$H$30,3,0)+IF(O31=$F30+$G30,1,0)+IF(O32=$H$32,3,0)+IF(O33=$F32+$G32,1,0)+IF(O34=$H$34,3,0)+IF(O35=$F34+$G34,1,0))</f>
        <v>27</v>
      </c>
      <c r="P3" s="6">
        <f>SUM(IF(P4=$H$4,3,0)+IF(P5=$F4+$G4,1,0)+IF(P6=$H$6,3,0)+IF(P7=$F6+$G6,1,0)+IF(P8=$H$8,3,0)+IF(P9=$F8+$G8,1,0)+IF(P10=$H$10,3,0)+IF(P11=$F10+$G10,1,0)
+IF(P12=$H$12,3,0)+IF(P13=$F12+$G12,1,0)+IF(P14=$H$14,3,0)+IF(P15=$F14+$G14,1,0)+IF(P16=$H$16,3,0)+IF(P17=$F16+$G16,1,0)+IF(P18=$H$18,3,0)+IF(P19=$F18+$G18,1,0)+IF(P20=$H$20,3,0)+IF(P21=$F20+$G20,1,0)+IF(P22=$H$22,3,0)+IF(P23=$F22+$G22,1,0)+IF(P24=$H$24,3,0)+IF(P25=$F24+$G24,1,0)+IF(P26=$H$26,3,0)+IF(P27=$F26+$G26,1,0)+IF(P28=$H$28,3,0)+IF(P29=$F28+$G28,1,0)+IF(P30=$H$30,3,0)+IF(P31=$F30+$G30,1,0)+IF(P32=$H$32,3,0)+IF(P33=$F32+$G32,1,0)+IF(P34=$H$34,3,0)+IF(P35=$F34+$G34,1,0))</f>
        <v>27</v>
      </c>
      <c r="Q3" s="6">
        <f>SUM(IF(Q4=$H$4,3,0)+IF(Q5=$F4+$G4,1,0)+IF(Q6=$H$6,3,0)+IF(Q7=$F6+$G6,1,0)+IF(Q8=$H$8,3,0)+IF(Q9=$F8+$G8,1,0)+IF(Q10=$H$10,3,0)+IF(Q11=$F10+$G10,1,0)
+IF(Q12=$H$12,3,0)+IF(Q13=$F12+$G12,1,0)+IF(Q14=$H$14,3,0)+IF(Q15=$F14+$G14,1,0)+IF(Q16=$H$16,3,0)+IF(Q17=$F16+$G16,1,0)+IF(Q18=$H$18,3,0)+IF(Q19=$F18+$G18,1,0)+IF(Q20=$H$20,3,0)+IF(Q21=$F20+$G20,1,0)+IF(Q22=$H$22,3,0)+IF(Q23=$F22+$G22,1,0)+IF(Q24=$H$24,3,0)+IF(Q25=$F24+$G24,1,0)+IF(Q26=$H$26,3,0)+IF(Q27=$F26+$G26,1,0)+IF(Q28=$H$28,3,0)+IF(Q29=$F28+$G28,1,0)+IF(Q30=$H$30,3,0)+IF(Q31=$F30+$G30,1,0)+IF(Q32=$H$32,3,0)+IF(Q33=$F32+$G32,1,0)+IF(Q34=$H$34,3,0)+IF(Q35=$F34+$G34,1,0))</f>
        <v>26</v>
      </c>
      <c r="R3" s="6">
        <f>SUM(IF(R4=$H$4,3,0)+IF(R5=$F4+$G4,1,0)+IF(R6=$H$6,3,0)+IF(R7=$F6+$G6,1,0)+IF(R8=$H$8,3,0)+IF(R9=$F8+$G8,1,0)+IF(R10=$H$10,3,0)+IF(R11=$F10+$G10,1,0)
+IF(R12=$H$12,3,0)+IF(R13=$F12+$G12,1,0)+IF(R14=$H$14,3,0)+IF(R15=$F14+$G14,1,0)+IF(R16=$H$16,3,0)+IF(R17=$F16+$G16,1,0)+IF(R18=$H$18,3,0)+IF(R19=$F18+$G18,1,0)+IF(R20=$H$20,3,0)+IF(R21=$F20+$G20,1,0)+IF(R22=$H$22,3,0)+IF(R23=$F22+$G22,1,0)+IF(R24=$H$24,3,0)+IF(R25=$F24+$G24,1,0)+IF(R26=$H$26,3,0)+IF(R27=$F26+$G26,1,0)+IF(R28=$H$28,3,0)+IF(R29=$F28+$G28,1,0)+IF(R30=$H$30,3,0)+IF(R31=$F30+$G30,1,0)+IF(R32=$H$32,3,0)+IF(R33=$F32+$G32,1,0)+IF(R34=$H$34,3,0)+IF(R35=$F34+$G34,1,0))</f>
        <v>24</v>
      </c>
      <c r="S3" s="6">
        <f>SUM(IF(S4=$H$4,3,0)+IF(S5=$F4+$G4,1,0)+IF(S6=$H$6,3,0)+IF(S7=$F6+$G6,1,0)+IF(S8=$H$8,3,0)+IF(S9=$F8+$G8,1,0)+IF(S10=$H$10,3,0)+IF(S11=$F10+$G10,1,0)
+IF(S12=$H$12,3,0)+IF(S13=$F12+$G12,1,0)+IF(S14=$H$14,3,0)+IF(S15=$F14+$G14,1,0)+IF(S16=$H$16,3,0)+IF(S17=$F16+$G16,1,0)+IF(S18=$H$18,3,0)+IF(S19=$F18+$G18,1,0)+IF(S20=$H$20,3,0)+IF(S21=$F20+$G20,1,0)+IF(S22=$H$22,3,0)+IF(S23=$F22+$G22,1,0)+IF(S24=$H$24,3,0)+IF(S25=$F24+$G24,1,0)+IF(S26=$H$26,3,0)+IF(S27=$F26+$G26,1,0)+IF(S28=$H$28,3,0)+IF(S29=$F28+$G28,1,0)+IF(S30=$H$30,3,0)+IF(S31=$F30+$G30,1,0)+IF(S32=$H$32,3,0)+IF(S33=$F32+$G32,1,0)+IF(S34=$H$34,3,0)+IF(S35=$F34+$G34,1,0))</f>
        <v>24</v>
      </c>
      <c r="T3" s="6">
        <f>SUM(IF(T4=$H$4,3,0)+IF(T5=$F4+$G4,1,0)+IF(T6=$H$6,3,0)+IF(T7=$F6+$G6,1,0)+IF(T8=$H$8,3,0)+IF(T9=$F8+$G8,1,0)+IF(T10=$H$10,3,0)+IF(T11=$F10+$G10,1,0)
+IF(T12=$H$12,3,0)+IF(T13=$F12+$G12,1,0)+IF(T14=$H$14,3,0)+IF(T15=$F14+$G14,1,0)+IF(T16=$H$16,3,0)+IF(T17=$F16+$G16,1,0)+IF(T18=$H$18,3,0)+IF(T19=$F18+$G18,1,0)+IF(T20=$H$20,3,0)+IF(T21=$F20+$G20,1,0)+IF(T22=$H$22,3,0)+IF(T23=$F22+$G22,1,0)+IF(T24=$H$24,3,0)+IF(T25=$F24+$G24,1,0)+IF(T26=$H$26,3,0)+IF(T27=$F26+$G26,1,0)+IF(T28=$H$28,3,0)+IF(T29=$F28+$G28,1,0)+IF(T30=$H$30,3,0)+IF(T31=$F30+$G30,1,0)+IF(T32=$H$32,3,0)+IF(T33=$F32+$G32,1,0)+IF(T34=$H$34,3,0)+IF(T35=$F34+$G34,1,0))</f>
        <v>23</v>
      </c>
      <c r="U3" s="6">
        <f>SUM(IF(U4=$H$4,3,0)+IF(U5=$F4+$G4,1,0)+IF(U6=$H$6,3,0)+IF(U7=$F6+$G6,1,0)+IF(U8=$H$8,3,0)+IF(U9=$F8+$G8,1,0)+IF(U10=$H$10,3,0)+IF(U11=$F10+$G10,1,0)
+IF(U12=$H$12,3,0)+IF(U13=$F12+$G12,1,0)+IF(U14=$H$14,3,0)+IF(U15=$F14+$G14,1,0)+IF(U16=$H$16,3,0)+IF(U17=$F16+$G16,1,0)+IF(U18=$H$18,3,0)+IF(U19=$F18+$G18,1,0)+IF(U20=$H$20,3,0)+IF(U21=$F20+$G20,1,0)+IF(U22=$H$22,3,0)+IF(U23=$F22+$G22,1,0)+IF(U24=$H$24,3,0)+IF(U25=$F24+$G24,1,0)+IF(U26=$H$26,3,0)+IF(U27=$F26+$G26,1,0)+IF(U28=$H$28,3,0)+IF(U29=$F28+$G28,1,0)+IF(U30=$H$30,3,0)+IF(U31=$F30+$G30,1,0)+IF(U32=$H$32,3,0)+IF(U33=$F32+$G32,1,0)+IF(U34=$H$34,3,0)+IF(U35=$F34+$G34,1,0))</f>
        <v>23</v>
      </c>
      <c r="V3" s="6">
        <f>SUM(IF(V4=$H$4,3,0)+IF(V5=$F4+$G4,1,0)+IF(V6=$H$6,3,0)+IF(V7=$F6+$G6,1,0)+IF(V8=$H$8,3,0)+IF(V9=$F8+$G8,1,0)+IF(V10=$H$10,3,0)+IF(V11=$F10+$G10,1,0)
+IF(V12=$H$12,3,0)+IF(V13=$F12+$G12,1,0)+IF(V14=$H$14,3,0)+IF(V15=$F14+$G14,1,0)+IF(V16=$H$16,3,0)+IF(V17=$F16+$G16,1,0)+IF(V18=$H$18,3,0)+IF(V19=$F18+$G18,1,0)+IF(V20=$H$20,3,0)+IF(V21=$F20+$G20,1,0)+IF(V22=$H$22,3,0)+IF(V23=$F22+$G22,1,0)+IF(V24=$H$24,3,0)+IF(V25=$F24+$G24,1,0)+IF(V26=$H$26,3,0)+IF(V27=$F26+$G26,1,0)+IF(V28=$H$28,3,0)+IF(V29=$F28+$G28,1,0)+IF(V30=$H$30,3,0)+IF(V31=$F30+$G30,1,0)+IF(V32=$H$32,3,0)+IF(V33=$F32+$G32,1,0)+IF(V34=$H$34,3,0)+IF(V35=$F34+$G34,1,0))</f>
        <v>22</v>
      </c>
      <c r="W3" s="6">
        <f>SUM(IF(W4=$H$4,3,0)+IF(W5=$F4+$G4,1,0)+IF(W6=$H$6,3,0)+IF(W7=$F6+$G6,1,0)+IF(W8=$H$8,3,0)+IF(W9=$F8+$G8,1,0)+IF(W10=$H$10,3,0)+IF(W11=$F10+$G10,1,0)
+IF(W12=$H$12,3,0)+IF(W13=$F12+$G12,1,0)+IF(W14=$H$14,3,0)+IF(W15=$F14+$G14,1,0)+IF(W16=$H$16,3,0)+IF(W17=$F16+$G16,1,0)+IF(W18=$H$18,3,0)+IF(W19=$F18+$G18,1,0)+IF(W20=$H$20,3,0)+IF(W21=$F20+$G20,1,0)+IF(W22=$H$22,3,0)+IF(W23=$F22+$G22,1,0)+IF(W24=$H$24,3,0)+IF(W25=$F24+$G24,1,0)+IF(W26=$H$26,3,0)+IF(W27=$F26+$G26,1,0)+IF(W28=$H$28,3,0)+IF(W29=$F28+$G28,1,0)+IF(W30=$H$30,3,0)+IF(W31=$F30+$G30,1,0)+IF(W32=$H$32,3,0)+IF(W33=$F32+$G32,1,0)+IF(W34=$H$34,3,0)+IF(W35=$F34+$G34,1,0))</f>
        <v>22</v>
      </c>
      <c r="X3" s="6">
        <f>SUM(IF(X4=$H$4,3,0)+IF(X5=$F4+$G4,1,0)+IF(X6=$H$6,3,0)+IF(X7=$F6+$G6,1,0)+IF(X8=$H$8,3,0)+IF(X9=$F8+$G8,1,0)+IF(X10=$H$10,3,0)+IF(X11=$F10+$G10,1,0)
+IF(X12=$H$12,3,0)+IF(X13=$F12+$G12,1,0)+IF(X14=$H$14,3,0)+IF(X15=$F14+$G14,1,0)+IF(X16=$H$16,3,0)+IF(X17=$F16+$G16,1,0)+IF(X18=$H$18,3,0)+IF(X19=$F18+$G18,1,0)+IF(X20=$H$20,3,0)+IF(X21=$F20+$G20,1,0)+IF(X22=$H$22,3,0)+IF(X23=$F22+$G22,1,0)+IF(X24=$H$24,3,0)+IF(X25=$F24+$G24,1,0)+IF(X26=$H$26,3,0)+IF(X27=$F26+$G26,1,0)+IF(X28=$H$28,3,0)+IF(X29=$F28+$G28,1,0)+IF(X30=$H$30,3,0)+IF(X31=$F30+$G30,1,0)+IF(X32=$H$32,3,0)+IF(X33=$F32+$G32,1,0)+IF(X34=$H$34,3,0)+IF(X35=$F34+$G34,1,0))</f>
        <v>22</v>
      </c>
      <c r="Y3" s="6">
        <f>SUM(IF(Y4=$H$4,3,0)+IF(Y5=$F4+$G4,1,0)+IF(Y6=$H$6,3,0)+IF(Y7=$F6+$G6,1,0)+IF(Y8=$H$8,3,0)+IF(Y9=$F8+$G8,1,0)+IF(Y10=$H$10,3,0)+IF(Y11=$F10+$G10,1,0)
+IF(Y12=$H$12,3,0)+IF(Y13=$F12+$G12,1,0)+IF(Y14=$H$14,3,0)+IF(Y15=$F14+$G14,1,0)+IF(Y16=$H$16,3,0)+IF(Y17=$F16+$G16,1,0)+IF(Y18=$H$18,3,0)+IF(Y19=$F18+$G18,1,0)+IF(Y20=$H$20,3,0)+IF(Y21=$F20+$G20,1,0)+IF(Y22=$H$22,3,0)+IF(Y23=$F22+$G22,1,0)+IF(Y24=$H$24,3,0)+IF(Y25=$F24+$G24,1,0)+IF(Y26=$H$26,3,0)+IF(Y27=$F26+$G26,1,0)+IF(Y28=$H$28,3,0)+IF(Y29=$F28+$G28,1,0)+IF(Y30=$H$30,3,0)+IF(Y31=$F30+$G30,1,0)+IF(Y32=$H$32,3,0)+IF(Y33=$F32+$G32,1,0)+IF(Y34=$H$34,3,0)+IF(Y35=$F34+$G34,1,0))</f>
        <v>22</v>
      </c>
      <c r="Z3" s="6">
        <f>SUM(IF(Z4=$H$4,3,0)+IF(Z5=$F4+$G4,1,0)+IF(Z6=$H$6,3,0)+IF(Z7=$F6+$G6,1,0)+IF(Z8=$H$8,3,0)+IF(Z9=$F8+$G8,1,0)+IF(Z10=$H$10,3,0)+IF(Z11=$F10+$G10,1,0)
+IF(Z12=$H$12,3,0)+IF(Z13=$F12+$G12,1,0)+IF(Z14=$H$14,3,0)+IF(Z15=$F14+$G14,1,0)+IF(Z16=$H$16,3,0)+IF(Z17=$F16+$G16,1,0)+IF(Z18=$H$18,3,0)+IF(Z19=$F18+$G18,1,0)+IF(Z20=$H$20,3,0)+IF(Z21=$F20+$G20,1,0)+IF(Z22=$H$22,3,0)+IF(Z23=$F22+$G22,1,0)+IF(Z24=$H$24,3,0)+IF(Z25=$F24+$G24,1,0)+IF(Z26=$H$26,3,0)+IF(Z27=$F26+$G26,1,0)+IF(Z28=$H$28,3,0)+IF(Z29=$F28+$G28,1,0)+IF(Z30=$H$30,3,0)+IF(Z31=$F30+$G30,1,0)+IF(Z32=$H$32,3,0)+IF(Z33=$F32+$G32,1,0)+IF(Z34=$H$34,3,0)+IF(Z35=$F34+$G34,1,0))</f>
        <v>21</v>
      </c>
      <c r="AA3" s="6">
        <f>SUM(IF(AA4=$H$4,3,0)+IF(AA5=$F4+$G4,1,0)+IF(AA6=$H$6,3,0)+IF(AA7=$F6+$G6,1,0)+IF(AA8=$H$8,3,0)+IF(AA9=$F8+$G8,1,0)+IF(AA10=$H$10,3,0)+IF(AA11=$F10+$G10,1,0)
+IF(AA12=$H$12,3,0)+IF(AA13=$F12+$G12,1,0)+IF(AA14=$H$14,3,0)+IF(AA15=$F14+$G14,1,0)+IF(AA16=$H$16,3,0)+IF(AA17=$F16+$G16,1,0)+IF(AA18=$H$18,3,0)+IF(AA19=$F18+$G18,1,0)+IF(AA20=$H$20,3,0)+IF(AA21=$F20+$G20,1,0)+IF(AA22=$H$22,3,0)+IF(AA23=$F22+$G22,1,0)+IF(AA24=$H$24,3,0)+IF(AA25=$F24+$G24,1,0)+IF(AA26=$H$26,3,0)+IF(AA27=$F26+$G26,1,0)+IF(AA28=$H$28,3,0)+IF(AA29=$F28+$G28,1,0)+IF(AA30=$H$30,3,0)+IF(AA31=$F30+$G30,1,0)+IF(AA32=$H$32,3,0)+IF(AA33=$F32+$G32,1,0)+IF(AA34=$H$34,3,0)+IF(AA35=$F34+$G34,1,0))</f>
        <v>20</v>
      </c>
      <c r="AB3" s="21">
        <f>SUM(IF(AB4=$H$4,3,0)+IF(AB5=$F4+$G4,1,0)+IF(AB6=$H$6,3,0)+IF(AB7=$F6+$G6,1,0)+IF(AB8=$H$8,3,0)+IF(AB9=$F8+$G8,1,0)+IF(AB10=$H$10,3,0)+IF(AB11=$F10+$G10,1,0)
+IF(AB12=$H$12,3,0)+IF(AB13=$F12+$G12,1,0)+IF(AB14=$H$14,3,0)+IF(AB15=$F14+$G14,1,0)+IF(AB16=$H$16,3,0)+IF(AB17=$F16+$G16,1,0)+IF(AB18=$H$18,3,0)+IF(AB19=$F18+$G18,1,0)+IF(AB20=$H$20,3,0)+IF(AB21=$F20+$G20,1,0)+IF(AB22=$H$22,3,0)+IF(AB23=$F22+$G22,1,0)+IF(AB24=$H$24,3,0)+IF(AB25=$F24+$G24,1,0)+IF(AB26=$H$26,3,0)+IF(AB27=$F26+$G26,1,0)+IF(AB28=$H$28,3,0)+IF(AB29=$F28+$G28,1,0)+IF(AB30=$H$30,3,0)+IF(AB31=$F30+$G30,1,0)+IF(AB32=$H$32,3,0)+IF(AB33=$F32+$G32,1,0)+IF(AB34=$H$34,3,0)+IF(AB35=$F34+$G34,1,0))</f>
        <v>19</v>
      </c>
    </row>
    <row r="4" spans="1:36" ht="12.75" customHeight="1" x14ac:dyDescent="0.3">
      <c r="A4" s="133" t="s">
        <v>76</v>
      </c>
      <c r="B4" s="101">
        <v>46202</v>
      </c>
      <c r="C4" s="113" t="s">
        <v>79</v>
      </c>
      <c r="D4" s="103" t="s">
        <v>23</v>
      </c>
      <c r="E4" s="103" t="s">
        <v>43</v>
      </c>
      <c r="F4" s="105">
        <v>1</v>
      </c>
      <c r="G4" s="105">
        <v>1</v>
      </c>
      <c r="H4" s="107" t="str">
        <f>IF(F4="","-",IF(F4&gt;G4,"L",IF(F4=G4,"E",IF(F4&lt;G4,"V"))))</f>
        <v>E</v>
      </c>
      <c r="I4" s="46" t="s">
        <v>7</v>
      </c>
      <c r="J4" s="17" t="s">
        <v>7</v>
      </c>
      <c r="K4" s="17" t="s">
        <v>7</v>
      </c>
      <c r="L4" s="17" t="s">
        <v>7</v>
      </c>
      <c r="M4" s="17" t="s">
        <v>7</v>
      </c>
      <c r="N4" s="17" t="s">
        <v>7</v>
      </c>
      <c r="O4" s="17" t="s">
        <v>7</v>
      </c>
      <c r="P4" s="17" t="s">
        <v>7</v>
      </c>
      <c r="Q4" s="17" t="s">
        <v>7</v>
      </c>
      <c r="R4" s="17" t="s">
        <v>7</v>
      </c>
      <c r="S4" s="17" t="s">
        <v>7</v>
      </c>
      <c r="T4" s="17" t="s">
        <v>7</v>
      </c>
      <c r="U4" s="17" t="s">
        <v>7</v>
      </c>
      <c r="V4" s="17" t="s">
        <v>7</v>
      </c>
      <c r="W4" s="17" t="s">
        <v>7</v>
      </c>
      <c r="X4" s="17" t="s">
        <v>7</v>
      </c>
      <c r="Y4" s="17" t="s">
        <v>7</v>
      </c>
      <c r="Z4" s="17" t="s">
        <v>7</v>
      </c>
      <c r="AA4" s="17" t="s">
        <v>7</v>
      </c>
      <c r="AB4" s="22" t="s">
        <v>7</v>
      </c>
    </row>
    <row r="5" spans="1:36" ht="12.75" customHeight="1" x14ac:dyDescent="0.3">
      <c r="A5" s="134"/>
      <c r="B5" s="102"/>
      <c r="C5" s="114"/>
      <c r="D5" s="104"/>
      <c r="E5" s="104"/>
      <c r="F5" s="106"/>
      <c r="G5" s="106"/>
      <c r="H5" s="108"/>
      <c r="I5" s="23">
        <v>2</v>
      </c>
      <c r="J5" s="18">
        <v>2</v>
      </c>
      <c r="K5" s="18">
        <v>4</v>
      </c>
      <c r="L5" s="18">
        <v>4</v>
      </c>
      <c r="M5" s="18">
        <v>3</v>
      </c>
      <c r="N5" s="18">
        <v>3</v>
      </c>
      <c r="O5" s="18">
        <v>3</v>
      </c>
      <c r="P5" s="18">
        <v>3</v>
      </c>
      <c r="Q5" s="18">
        <v>3</v>
      </c>
      <c r="R5" s="18">
        <v>4</v>
      </c>
      <c r="S5" s="18">
        <v>3</v>
      </c>
      <c r="T5" s="18">
        <v>4</v>
      </c>
      <c r="U5" s="18">
        <v>2</v>
      </c>
      <c r="V5" s="18">
        <v>4</v>
      </c>
      <c r="W5" s="18">
        <v>4</v>
      </c>
      <c r="X5" s="18">
        <v>4</v>
      </c>
      <c r="Y5" s="18">
        <v>2</v>
      </c>
      <c r="Z5" s="18">
        <v>2</v>
      </c>
      <c r="AA5" s="18">
        <v>2</v>
      </c>
      <c r="AB5" s="24">
        <v>3</v>
      </c>
      <c r="AI5" s="47" t="s">
        <v>7</v>
      </c>
      <c r="AJ5" s="48" t="s">
        <v>9</v>
      </c>
    </row>
    <row r="6" spans="1:36" ht="12.75" customHeight="1" x14ac:dyDescent="0.3">
      <c r="A6" s="134"/>
      <c r="B6" s="101">
        <v>46203</v>
      </c>
      <c r="C6" s="113" t="s">
        <v>80</v>
      </c>
      <c r="D6" s="103" t="s">
        <v>19</v>
      </c>
      <c r="E6" s="103" t="s">
        <v>53</v>
      </c>
      <c r="F6" s="105">
        <v>3</v>
      </c>
      <c r="G6" s="105">
        <v>0</v>
      </c>
      <c r="H6" s="107" t="str">
        <f t="shared" ref="H6:H34" si="0">IF(F6="","-",IF(F6&gt;G6,"L",IF(F6=G6,"E",IF(F6&lt;G6,"V"))))</f>
        <v>L</v>
      </c>
      <c r="I6" s="26" t="s">
        <v>7</v>
      </c>
      <c r="J6" s="13" t="s">
        <v>7</v>
      </c>
      <c r="K6" s="13" t="s">
        <v>7</v>
      </c>
      <c r="L6" s="13" t="s">
        <v>7</v>
      </c>
      <c r="M6" s="13" t="s">
        <v>7</v>
      </c>
      <c r="N6" s="13" t="s">
        <v>7</v>
      </c>
      <c r="O6" s="13" t="s">
        <v>7</v>
      </c>
      <c r="P6" s="13" t="s">
        <v>7</v>
      </c>
      <c r="Q6" s="13" t="s">
        <v>7</v>
      </c>
      <c r="R6" s="13" t="s">
        <v>7</v>
      </c>
      <c r="S6" s="13" t="s">
        <v>7</v>
      </c>
      <c r="T6" s="13" t="s">
        <v>7</v>
      </c>
      <c r="U6" s="13" t="s">
        <v>7</v>
      </c>
      <c r="V6" s="13" t="s">
        <v>7</v>
      </c>
      <c r="W6" s="13" t="s">
        <v>7</v>
      </c>
      <c r="X6" s="13" t="s">
        <v>7</v>
      </c>
      <c r="Y6" s="13" t="s">
        <v>7</v>
      </c>
      <c r="Z6" s="13" t="s">
        <v>7</v>
      </c>
      <c r="AA6" s="13" t="s">
        <v>7</v>
      </c>
      <c r="AB6" s="25" t="s">
        <v>7</v>
      </c>
      <c r="AI6" s="49" t="s">
        <v>16</v>
      </c>
      <c r="AJ6" s="50">
        <v>0</v>
      </c>
    </row>
    <row r="7" spans="1:36" ht="12.75" customHeight="1" x14ac:dyDescent="0.3">
      <c r="A7" s="134"/>
      <c r="B7" s="102"/>
      <c r="C7" s="114"/>
      <c r="D7" s="104"/>
      <c r="E7" s="104"/>
      <c r="F7" s="106"/>
      <c r="G7" s="106"/>
      <c r="H7" s="108"/>
      <c r="I7" s="26">
        <v>3</v>
      </c>
      <c r="J7" s="13">
        <v>4</v>
      </c>
      <c r="K7" s="13">
        <v>3</v>
      </c>
      <c r="L7" s="13">
        <v>5</v>
      </c>
      <c r="M7" s="13">
        <v>5</v>
      </c>
      <c r="N7" s="13">
        <v>4</v>
      </c>
      <c r="O7" s="13">
        <v>3</v>
      </c>
      <c r="P7" s="13">
        <v>4</v>
      </c>
      <c r="Q7" s="13">
        <v>4</v>
      </c>
      <c r="R7" s="13">
        <v>3</v>
      </c>
      <c r="S7" s="13">
        <v>3</v>
      </c>
      <c r="T7" s="13">
        <v>2</v>
      </c>
      <c r="U7" s="13">
        <v>3</v>
      </c>
      <c r="V7" s="13">
        <v>3</v>
      </c>
      <c r="W7" s="13">
        <v>3</v>
      </c>
      <c r="X7" s="13">
        <v>2</v>
      </c>
      <c r="Y7" s="13">
        <v>3</v>
      </c>
      <c r="Z7" s="13">
        <v>3</v>
      </c>
      <c r="AA7" s="13">
        <v>4</v>
      </c>
      <c r="AB7" s="25">
        <v>2</v>
      </c>
      <c r="AI7" s="49" t="s">
        <v>15</v>
      </c>
      <c r="AJ7" s="50">
        <v>1</v>
      </c>
    </row>
    <row r="8" spans="1:36" ht="12.75" customHeight="1" x14ac:dyDescent="0.3">
      <c r="A8" s="134"/>
      <c r="B8" s="101">
        <v>46201</v>
      </c>
      <c r="C8" s="113" t="s">
        <v>81</v>
      </c>
      <c r="D8" s="103" t="s">
        <v>144</v>
      </c>
      <c r="E8" s="103" t="s">
        <v>145</v>
      </c>
      <c r="F8" s="105">
        <v>0</v>
      </c>
      <c r="G8" s="105">
        <v>1</v>
      </c>
      <c r="H8" s="107" t="str">
        <f t="shared" si="0"/>
        <v>V</v>
      </c>
      <c r="I8" s="23" t="s">
        <v>15</v>
      </c>
      <c r="J8" s="18" t="s">
        <v>15</v>
      </c>
      <c r="K8" s="18" t="s">
        <v>15</v>
      </c>
      <c r="L8" s="18" t="s">
        <v>15</v>
      </c>
      <c r="M8" s="18" t="s">
        <v>15</v>
      </c>
      <c r="N8" s="18" t="s">
        <v>15</v>
      </c>
      <c r="O8" s="18" t="s">
        <v>15</v>
      </c>
      <c r="P8" s="18" t="s">
        <v>15</v>
      </c>
      <c r="Q8" s="18" t="s">
        <v>15</v>
      </c>
      <c r="R8" s="18" t="s">
        <v>15</v>
      </c>
      <c r="S8" s="18" t="s">
        <v>15</v>
      </c>
      <c r="T8" s="18" t="s">
        <v>15</v>
      </c>
      <c r="U8" s="18" t="s">
        <v>16</v>
      </c>
      <c r="V8" s="18" t="s">
        <v>15</v>
      </c>
      <c r="W8" s="18" t="s">
        <v>15</v>
      </c>
      <c r="X8" s="18" t="s">
        <v>15</v>
      </c>
      <c r="Y8" s="18" t="s">
        <v>7</v>
      </c>
      <c r="Z8" s="18" t="s">
        <v>15</v>
      </c>
      <c r="AA8" s="18" t="s">
        <v>16</v>
      </c>
      <c r="AB8" s="24" t="s">
        <v>15</v>
      </c>
      <c r="AI8" s="49"/>
      <c r="AJ8" s="50">
        <v>2</v>
      </c>
    </row>
    <row r="9" spans="1:36" ht="12.75" customHeight="1" x14ac:dyDescent="0.3">
      <c r="A9" s="134"/>
      <c r="B9" s="102"/>
      <c r="C9" s="114"/>
      <c r="D9" s="104"/>
      <c r="E9" s="104"/>
      <c r="F9" s="106"/>
      <c r="G9" s="106"/>
      <c r="H9" s="108"/>
      <c r="I9" s="23">
        <v>3</v>
      </c>
      <c r="J9" s="18">
        <v>2</v>
      </c>
      <c r="K9" s="18">
        <v>3</v>
      </c>
      <c r="L9" s="18">
        <v>3</v>
      </c>
      <c r="M9" s="18">
        <v>4</v>
      </c>
      <c r="N9" s="18">
        <v>3</v>
      </c>
      <c r="O9" s="18">
        <v>3</v>
      </c>
      <c r="P9" s="18">
        <v>3</v>
      </c>
      <c r="Q9" s="18">
        <v>3</v>
      </c>
      <c r="R9" s="18">
        <v>3</v>
      </c>
      <c r="S9" s="18">
        <v>3</v>
      </c>
      <c r="T9" s="18">
        <v>3</v>
      </c>
      <c r="U9" s="18">
        <v>4</v>
      </c>
      <c r="V9" s="18">
        <v>4</v>
      </c>
      <c r="W9" s="18">
        <v>3</v>
      </c>
      <c r="X9" s="18">
        <v>3</v>
      </c>
      <c r="Y9" s="18">
        <v>3</v>
      </c>
      <c r="Z9" s="18">
        <v>3</v>
      </c>
      <c r="AA9" s="18">
        <v>2</v>
      </c>
      <c r="AB9" s="24">
        <v>3</v>
      </c>
      <c r="AI9" s="49"/>
      <c r="AJ9" s="50">
        <v>3</v>
      </c>
    </row>
    <row r="10" spans="1:36" ht="12.75" customHeight="1" x14ac:dyDescent="0.3">
      <c r="A10" s="134"/>
      <c r="B10" s="101">
        <v>46202</v>
      </c>
      <c r="C10" s="113" t="s">
        <v>82</v>
      </c>
      <c r="D10" s="103" t="s">
        <v>52</v>
      </c>
      <c r="E10" s="103" t="s">
        <v>40</v>
      </c>
      <c r="F10" s="105">
        <v>1</v>
      </c>
      <c r="G10" s="105">
        <v>1</v>
      </c>
      <c r="H10" s="107" t="str">
        <f t="shared" si="0"/>
        <v>E</v>
      </c>
      <c r="I10" s="26" t="s">
        <v>16</v>
      </c>
      <c r="J10" s="13" t="s">
        <v>16</v>
      </c>
      <c r="K10" s="13" t="s">
        <v>7</v>
      </c>
      <c r="L10" s="13" t="s">
        <v>16</v>
      </c>
      <c r="M10" s="13" t="s">
        <v>7</v>
      </c>
      <c r="N10" s="13" t="s">
        <v>7</v>
      </c>
      <c r="O10" s="13" t="s">
        <v>7</v>
      </c>
      <c r="P10" s="13" t="s">
        <v>16</v>
      </c>
      <c r="Q10" s="13" t="s">
        <v>7</v>
      </c>
      <c r="R10" s="13" t="s">
        <v>7</v>
      </c>
      <c r="S10" s="13" t="s">
        <v>7</v>
      </c>
      <c r="T10" s="13" t="s">
        <v>7</v>
      </c>
      <c r="U10" s="13" t="s">
        <v>7</v>
      </c>
      <c r="V10" s="13" t="s">
        <v>7</v>
      </c>
      <c r="W10" s="13" t="s">
        <v>7</v>
      </c>
      <c r="X10" s="13" t="s">
        <v>16</v>
      </c>
      <c r="Y10" s="13" t="s">
        <v>7</v>
      </c>
      <c r="Z10" s="13" t="s">
        <v>7</v>
      </c>
      <c r="AA10" s="13" t="s">
        <v>16</v>
      </c>
      <c r="AB10" s="25" t="s">
        <v>7</v>
      </c>
      <c r="AI10" s="49"/>
      <c r="AJ10" s="50">
        <v>4</v>
      </c>
    </row>
    <row r="11" spans="1:36" ht="12.75" customHeight="1" x14ac:dyDescent="0.3">
      <c r="A11" s="134"/>
      <c r="B11" s="102"/>
      <c r="C11" s="114"/>
      <c r="D11" s="104"/>
      <c r="E11" s="104"/>
      <c r="F11" s="106"/>
      <c r="G11" s="106"/>
      <c r="H11" s="108"/>
      <c r="I11" s="26">
        <v>2</v>
      </c>
      <c r="J11" s="13">
        <v>2</v>
      </c>
      <c r="K11" s="13">
        <v>2</v>
      </c>
      <c r="L11" s="13">
        <v>2</v>
      </c>
      <c r="M11" s="13">
        <v>2</v>
      </c>
      <c r="N11" s="13">
        <v>5</v>
      </c>
      <c r="O11" s="13">
        <v>3</v>
      </c>
      <c r="P11" s="13">
        <v>2</v>
      </c>
      <c r="Q11" s="13">
        <v>3</v>
      </c>
      <c r="R11" s="13">
        <v>3</v>
      </c>
      <c r="S11" s="13">
        <v>1</v>
      </c>
      <c r="T11" s="13">
        <v>3</v>
      </c>
      <c r="U11" s="13">
        <v>4</v>
      </c>
      <c r="V11" s="13">
        <v>6</v>
      </c>
      <c r="W11" s="13">
        <v>5</v>
      </c>
      <c r="X11" s="13">
        <v>4</v>
      </c>
      <c r="Y11" s="13">
        <v>3</v>
      </c>
      <c r="Z11" s="13">
        <v>3</v>
      </c>
      <c r="AA11" s="13">
        <v>4</v>
      </c>
      <c r="AB11" s="25">
        <v>3</v>
      </c>
      <c r="AI11" s="49"/>
      <c r="AJ11" s="50">
        <v>5</v>
      </c>
    </row>
    <row r="12" spans="1:36" ht="12.75" customHeight="1" x14ac:dyDescent="0.3">
      <c r="A12" s="134"/>
      <c r="B12" s="117">
        <v>46205</v>
      </c>
      <c r="C12" s="124" t="s">
        <v>83</v>
      </c>
      <c r="D12" s="121" t="s">
        <v>17</v>
      </c>
      <c r="E12" s="121" t="s">
        <v>20</v>
      </c>
      <c r="F12" s="122"/>
      <c r="G12" s="122"/>
      <c r="H12" s="115" t="str">
        <f t="shared" si="0"/>
        <v>-</v>
      </c>
      <c r="I12" s="27" t="s">
        <v>7</v>
      </c>
      <c r="J12" s="19" t="s">
        <v>7</v>
      </c>
      <c r="K12" s="19" t="s">
        <v>7</v>
      </c>
      <c r="L12" s="19" t="s">
        <v>7</v>
      </c>
      <c r="M12" s="19" t="s">
        <v>15</v>
      </c>
      <c r="N12" s="19" t="s">
        <v>7</v>
      </c>
      <c r="O12" s="19" t="s">
        <v>16</v>
      </c>
      <c r="P12" s="19" t="s">
        <v>16</v>
      </c>
      <c r="Q12" s="19" t="s">
        <v>7</v>
      </c>
      <c r="R12" s="19" t="s">
        <v>15</v>
      </c>
      <c r="S12" s="19" t="s">
        <v>7</v>
      </c>
      <c r="T12" s="19" t="s">
        <v>7</v>
      </c>
      <c r="U12" s="19" t="s">
        <v>16</v>
      </c>
      <c r="V12" s="19" t="s">
        <v>7</v>
      </c>
      <c r="W12" s="19" t="s">
        <v>16</v>
      </c>
      <c r="X12" s="19" t="s">
        <v>15</v>
      </c>
      <c r="Y12" s="19" t="s">
        <v>7</v>
      </c>
      <c r="Z12" s="19" t="s">
        <v>7</v>
      </c>
      <c r="AA12" s="19" t="s">
        <v>16</v>
      </c>
      <c r="AB12" s="28" t="s">
        <v>7</v>
      </c>
      <c r="AI12" s="49"/>
      <c r="AJ12" s="50">
        <v>10</v>
      </c>
    </row>
    <row r="13" spans="1:36" ht="12.75" customHeight="1" x14ac:dyDescent="0.3">
      <c r="A13" s="134"/>
      <c r="B13" s="118"/>
      <c r="C13" s="125"/>
      <c r="D13" s="120"/>
      <c r="E13" s="120"/>
      <c r="F13" s="123"/>
      <c r="G13" s="123"/>
      <c r="H13" s="116"/>
      <c r="I13" s="27">
        <v>3</v>
      </c>
      <c r="J13" s="19">
        <v>4</v>
      </c>
      <c r="K13" s="19">
        <v>2</v>
      </c>
      <c r="L13" s="19">
        <v>3</v>
      </c>
      <c r="M13" s="19">
        <v>3</v>
      </c>
      <c r="N13" s="19">
        <v>3</v>
      </c>
      <c r="O13" s="19">
        <v>2</v>
      </c>
      <c r="P13" s="19">
        <v>2</v>
      </c>
      <c r="Q13" s="19">
        <v>1</v>
      </c>
      <c r="R13" s="19">
        <v>3</v>
      </c>
      <c r="S13" s="19">
        <v>2</v>
      </c>
      <c r="T13" s="19">
        <v>3</v>
      </c>
      <c r="U13" s="19">
        <v>2</v>
      </c>
      <c r="V13" s="19">
        <v>3</v>
      </c>
      <c r="W13" s="19">
        <v>4</v>
      </c>
      <c r="X13" s="19">
        <v>3</v>
      </c>
      <c r="Y13" s="19">
        <v>2</v>
      </c>
      <c r="Z13" s="19">
        <v>3</v>
      </c>
      <c r="AA13" s="19">
        <v>2</v>
      </c>
      <c r="AB13" s="28">
        <v>3</v>
      </c>
      <c r="AI13" s="49"/>
      <c r="AJ13" s="50">
        <v>11</v>
      </c>
    </row>
    <row r="14" spans="1:36" ht="12.75" customHeight="1" x14ac:dyDescent="0.3">
      <c r="A14" s="134"/>
      <c r="B14" s="117">
        <v>46205</v>
      </c>
      <c r="C14" s="124" t="s">
        <v>81</v>
      </c>
      <c r="D14" s="119" t="s">
        <v>18</v>
      </c>
      <c r="E14" s="121" t="s">
        <v>26</v>
      </c>
      <c r="F14" s="122"/>
      <c r="G14" s="122"/>
      <c r="H14" s="115" t="str">
        <f t="shared" si="0"/>
        <v>-</v>
      </c>
      <c r="I14" s="26" t="s">
        <v>7</v>
      </c>
      <c r="J14" s="13" t="s">
        <v>7</v>
      </c>
      <c r="K14" s="13" t="s">
        <v>7</v>
      </c>
      <c r="L14" s="13" t="s">
        <v>7</v>
      </c>
      <c r="M14" s="13" t="s">
        <v>16</v>
      </c>
      <c r="N14" s="13" t="s">
        <v>7</v>
      </c>
      <c r="O14" s="13" t="s">
        <v>7</v>
      </c>
      <c r="P14" s="13" t="s">
        <v>7</v>
      </c>
      <c r="Q14" s="13" t="s">
        <v>7</v>
      </c>
      <c r="R14" s="13" t="s">
        <v>7</v>
      </c>
      <c r="S14" s="13" t="s">
        <v>16</v>
      </c>
      <c r="T14" s="13" t="s">
        <v>7</v>
      </c>
      <c r="U14" s="13" t="s">
        <v>7</v>
      </c>
      <c r="V14" s="13" t="s">
        <v>7</v>
      </c>
      <c r="W14" s="13" t="s">
        <v>7</v>
      </c>
      <c r="X14" s="13" t="s">
        <v>7</v>
      </c>
      <c r="Y14" s="13" t="s">
        <v>7</v>
      </c>
      <c r="Z14" s="13" t="s">
        <v>7</v>
      </c>
      <c r="AA14" s="13" t="s">
        <v>7</v>
      </c>
      <c r="AB14" s="25" t="s">
        <v>7</v>
      </c>
      <c r="AI14" s="49"/>
      <c r="AJ14" s="50">
        <v>12</v>
      </c>
    </row>
    <row r="15" spans="1:36" ht="12.75" customHeight="1" x14ac:dyDescent="0.3">
      <c r="A15" s="134"/>
      <c r="B15" s="118"/>
      <c r="C15" s="125"/>
      <c r="D15" s="120"/>
      <c r="E15" s="120"/>
      <c r="F15" s="123"/>
      <c r="G15" s="123"/>
      <c r="H15" s="116"/>
      <c r="I15" s="26">
        <v>3</v>
      </c>
      <c r="J15" s="13">
        <v>3</v>
      </c>
      <c r="K15" s="13">
        <v>2</v>
      </c>
      <c r="L15" s="13">
        <v>3</v>
      </c>
      <c r="M15" s="13">
        <v>2</v>
      </c>
      <c r="N15" s="13">
        <v>3</v>
      </c>
      <c r="O15" s="13">
        <v>3</v>
      </c>
      <c r="P15" s="13">
        <v>4</v>
      </c>
      <c r="Q15" s="13">
        <v>3</v>
      </c>
      <c r="R15" s="13">
        <v>3</v>
      </c>
      <c r="S15" s="13">
        <v>2</v>
      </c>
      <c r="T15" s="13">
        <v>3</v>
      </c>
      <c r="U15" s="13">
        <v>3</v>
      </c>
      <c r="V15" s="13">
        <v>2</v>
      </c>
      <c r="W15" s="13">
        <v>4</v>
      </c>
      <c r="X15" s="13">
        <v>2</v>
      </c>
      <c r="Y15" s="13">
        <v>3</v>
      </c>
      <c r="Z15" s="13">
        <v>3</v>
      </c>
      <c r="AA15" s="13">
        <v>1</v>
      </c>
      <c r="AB15" s="25">
        <v>2</v>
      </c>
      <c r="AI15" s="49"/>
      <c r="AJ15" s="50">
        <v>13</v>
      </c>
    </row>
    <row r="16" spans="1:36" ht="12.75" customHeight="1" x14ac:dyDescent="0.3">
      <c r="A16" s="134"/>
      <c r="B16" s="117">
        <v>46204</v>
      </c>
      <c r="C16" s="124" t="s">
        <v>84</v>
      </c>
      <c r="D16" s="121" t="s">
        <v>41</v>
      </c>
      <c r="E16" s="121" t="s">
        <v>37</v>
      </c>
      <c r="F16" s="122">
        <v>2</v>
      </c>
      <c r="G16" s="122">
        <v>0</v>
      </c>
      <c r="H16" s="115" t="str">
        <f t="shared" si="0"/>
        <v>L</v>
      </c>
      <c r="I16" s="27" t="s">
        <v>7</v>
      </c>
      <c r="J16" s="19" t="s">
        <v>7</v>
      </c>
      <c r="K16" s="19" t="s">
        <v>7</v>
      </c>
      <c r="L16" s="19" t="s">
        <v>7</v>
      </c>
      <c r="M16" s="19" t="s">
        <v>7</v>
      </c>
      <c r="N16" s="19" t="s">
        <v>7</v>
      </c>
      <c r="O16" s="19" t="s">
        <v>7</v>
      </c>
      <c r="P16" s="19" t="s">
        <v>7</v>
      </c>
      <c r="Q16" s="19" t="s">
        <v>7</v>
      </c>
      <c r="R16" s="19" t="s">
        <v>7</v>
      </c>
      <c r="S16" s="19" t="s">
        <v>7</v>
      </c>
      <c r="T16" s="19" t="s">
        <v>7</v>
      </c>
      <c r="U16" s="19" t="s">
        <v>7</v>
      </c>
      <c r="V16" s="19" t="s">
        <v>7</v>
      </c>
      <c r="W16" s="19" t="s">
        <v>7</v>
      </c>
      <c r="X16" s="19" t="s">
        <v>7</v>
      </c>
      <c r="Y16" s="19" t="s">
        <v>7</v>
      </c>
      <c r="Z16" s="19" t="s">
        <v>7</v>
      </c>
      <c r="AA16" s="19" t="s">
        <v>7</v>
      </c>
      <c r="AB16" s="28" t="s">
        <v>7</v>
      </c>
      <c r="AI16" s="49"/>
      <c r="AJ16" s="50">
        <v>14</v>
      </c>
    </row>
    <row r="17" spans="1:36" ht="12.75" customHeight="1" x14ac:dyDescent="0.3">
      <c r="A17" s="134"/>
      <c r="B17" s="118"/>
      <c r="C17" s="125"/>
      <c r="D17" s="120"/>
      <c r="E17" s="120"/>
      <c r="F17" s="123"/>
      <c r="G17" s="123"/>
      <c r="H17" s="116"/>
      <c r="I17" s="27">
        <v>3</v>
      </c>
      <c r="J17" s="19">
        <v>2</v>
      </c>
      <c r="K17" s="19">
        <v>2</v>
      </c>
      <c r="L17" s="19">
        <v>2</v>
      </c>
      <c r="M17" s="19">
        <v>2</v>
      </c>
      <c r="N17" s="19">
        <v>3</v>
      </c>
      <c r="O17" s="19">
        <v>3</v>
      </c>
      <c r="P17" s="19">
        <v>3</v>
      </c>
      <c r="Q17" s="19">
        <v>2</v>
      </c>
      <c r="R17" s="19">
        <v>3</v>
      </c>
      <c r="S17" s="19">
        <v>2</v>
      </c>
      <c r="T17" s="19">
        <v>3</v>
      </c>
      <c r="U17" s="19">
        <v>3</v>
      </c>
      <c r="V17" s="19">
        <v>4</v>
      </c>
      <c r="W17" s="19">
        <v>3</v>
      </c>
      <c r="X17" s="19">
        <v>3</v>
      </c>
      <c r="Y17" s="19">
        <v>3</v>
      </c>
      <c r="Z17" s="19">
        <v>3</v>
      </c>
      <c r="AA17" s="19">
        <v>4</v>
      </c>
      <c r="AB17" s="28">
        <v>4</v>
      </c>
      <c r="AI17" s="49"/>
      <c r="AJ17" s="50">
        <v>15</v>
      </c>
    </row>
    <row r="18" spans="1:36" ht="12.75" customHeight="1" x14ac:dyDescent="0.3">
      <c r="A18" s="134"/>
      <c r="B18" s="117">
        <v>46204</v>
      </c>
      <c r="C18" s="124" t="s">
        <v>85</v>
      </c>
      <c r="D18" s="121" t="s">
        <v>29</v>
      </c>
      <c r="E18" s="121" t="s">
        <v>64</v>
      </c>
      <c r="F18" s="122">
        <v>2</v>
      </c>
      <c r="G18" s="122">
        <v>2</v>
      </c>
      <c r="H18" s="115" t="str">
        <f t="shared" si="0"/>
        <v>E</v>
      </c>
      <c r="I18" s="26" t="s">
        <v>16</v>
      </c>
      <c r="J18" s="13" t="s">
        <v>16</v>
      </c>
      <c r="K18" s="13" t="s">
        <v>16</v>
      </c>
      <c r="L18" s="13" t="s">
        <v>15</v>
      </c>
      <c r="M18" s="13" t="s">
        <v>16</v>
      </c>
      <c r="N18" s="13" t="s">
        <v>16</v>
      </c>
      <c r="O18" s="13" t="s">
        <v>16</v>
      </c>
      <c r="P18" s="13" t="s">
        <v>16</v>
      </c>
      <c r="Q18" s="13" t="s">
        <v>7</v>
      </c>
      <c r="R18" s="13" t="s">
        <v>15</v>
      </c>
      <c r="S18" s="13" t="s">
        <v>15</v>
      </c>
      <c r="T18" s="13" t="s">
        <v>7</v>
      </c>
      <c r="U18" s="13" t="s">
        <v>15</v>
      </c>
      <c r="V18" s="13" t="s">
        <v>7</v>
      </c>
      <c r="W18" s="13" t="s">
        <v>7</v>
      </c>
      <c r="X18" s="13" t="s">
        <v>7</v>
      </c>
      <c r="Y18" s="13" t="s">
        <v>7</v>
      </c>
      <c r="Z18" s="13" t="s">
        <v>7</v>
      </c>
      <c r="AA18" s="13" t="s">
        <v>7</v>
      </c>
      <c r="AB18" s="25" t="s">
        <v>7</v>
      </c>
      <c r="AI18" s="49"/>
      <c r="AJ18" s="50">
        <v>16</v>
      </c>
    </row>
    <row r="19" spans="1:36" ht="12.75" customHeight="1" x14ac:dyDescent="0.3">
      <c r="A19" s="134"/>
      <c r="B19" s="118"/>
      <c r="C19" s="125"/>
      <c r="D19" s="120"/>
      <c r="E19" s="120"/>
      <c r="F19" s="123"/>
      <c r="G19" s="123"/>
      <c r="H19" s="116"/>
      <c r="I19" s="26">
        <v>2</v>
      </c>
      <c r="J19" s="13">
        <v>2</v>
      </c>
      <c r="K19" s="13">
        <v>2</v>
      </c>
      <c r="L19" s="13">
        <v>3</v>
      </c>
      <c r="M19" s="13">
        <v>4</v>
      </c>
      <c r="N19" s="13">
        <v>2</v>
      </c>
      <c r="O19" s="13">
        <v>2</v>
      </c>
      <c r="P19" s="13">
        <v>2</v>
      </c>
      <c r="Q19" s="13">
        <v>1</v>
      </c>
      <c r="R19" s="13">
        <v>3</v>
      </c>
      <c r="S19" s="13">
        <v>3</v>
      </c>
      <c r="T19" s="13">
        <v>3</v>
      </c>
      <c r="U19" s="13">
        <v>2</v>
      </c>
      <c r="V19" s="13">
        <v>3</v>
      </c>
      <c r="W19" s="13">
        <v>1</v>
      </c>
      <c r="X19" s="13">
        <v>3</v>
      </c>
      <c r="Y19" s="13">
        <v>4</v>
      </c>
      <c r="Z19" s="13">
        <v>3</v>
      </c>
      <c r="AA19" s="13">
        <v>3</v>
      </c>
      <c r="AB19" s="25">
        <v>3</v>
      </c>
      <c r="AI19" s="49"/>
      <c r="AJ19" s="50">
        <v>17</v>
      </c>
    </row>
    <row r="20" spans="1:36" ht="12.75" customHeight="1" x14ac:dyDescent="0.3">
      <c r="A20" s="133" t="s">
        <v>77</v>
      </c>
      <c r="B20" s="101">
        <v>46202</v>
      </c>
      <c r="C20" s="113" t="s">
        <v>86</v>
      </c>
      <c r="D20" s="103" t="s">
        <v>38</v>
      </c>
      <c r="E20" s="126" t="s">
        <v>55</v>
      </c>
      <c r="F20" s="105">
        <v>2</v>
      </c>
      <c r="G20" s="105">
        <v>1</v>
      </c>
      <c r="H20" s="107" t="str">
        <f t="shared" si="0"/>
        <v>L</v>
      </c>
      <c r="I20" s="23" t="s">
        <v>7</v>
      </c>
      <c r="J20" s="18" t="s">
        <v>16</v>
      </c>
      <c r="K20" s="18" t="s">
        <v>7</v>
      </c>
      <c r="L20" s="18" t="s">
        <v>7</v>
      </c>
      <c r="M20" s="18" t="s">
        <v>7</v>
      </c>
      <c r="N20" s="18" t="s">
        <v>7</v>
      </c>
      <c r="O20" s="18" t="s">
        <v>7</v>
      </c>
      <c r="P20" s="18" t="s">
        <v>7</v>
      </c>
      <c r="Q20" s="18" t="s">
        <v>7</v>
      </c>
      <c r="R20" s="18" t="s">
        <v>7</v>
      </c>
      <c r="S20" s="18" t="s">
        <v>7</v>
      </c>
      <c r="T20" s="18" t="s">
        <v>7</v>
      </c>
      <c r="U20" s="18" t="s">
        <v>7</v>
      </c>
      <c r="V20" s="18" t="s">
        <v>7</v>
      </c>
      <c r="W20" s="18" t="s">
        <v>7</v>
      </c>
      <c r="X20" s="18" t="s">
        <v>7</v>
      </c>
      <c r="Y20" s="18" t="s">
        <v>7</v>
      </c>
      <c r="Z20" s="18" t="s">
        <v>7</v>
      </c>
      <c r="AA20" s="18" t="s">
        <v>16</v>
      </c>
      <c r="AB20" s="24" t="s">
        <v>7</v>
      </c>
      <c r="AJ20" s="3">
        <v>6</v>
      </c>
    </row>
    <row r="21" spans="1:36" ht="12.75" customHeight="1" x14ac:dyDescent="0.3">
      <c r="A21" s="134"/>
      <c r="B21" s="102"/>
      <c r="C21" s="114"/>
      <c r="D21" s="104"/>
      <c r="E21" s="127"/>
      <c r="F21" s="106"/>
      <c r="G21" s="106"/>
      <c r="H21" s="108"/>
      <c r="I21" s="23">
        <v>3</v>
      </c>
      <c r="J21" s="18">
        <v>2</v>
      </c>
      <c r="K21" s="18">
        <v>3</v>
      </c>
      <c r="L21" s="18">
        <v>3</v>
      </c>
      <c r="M21" s="18">
        <v>3</v>
      </c>
      <c r="N21" s="18">
        <v>3</v>
      </c>
      <c r="O21" s="18">
        <v>3</v>
      </c>
      <c r="P21" s="18">
        <v>3</v>
      </c>
      <c r="Q21" s="18">
        <v>3</v>
      </c>
      <c r="R21" s="18">
        <v>4</v>
      </c>
      <c r="S21" s="18">
        <v>3</v>
      </c>
      <c r="T21" s="18">
        <v>4</v>
      </c>
      <c r="U21" s="18">
        <v>3</v>
      </c>
      <c r="V21" s="18">
        <v>5</v>
      </c>
      <c r="W21" s="18">
        <v>4</v>
      </c>
      <c r="X21" s="18">
        <v>4</v>
      </c>
      <c r="Y21" s="18">
        <v>3</v>
      </c>
      <c r="Z21" s="18">
        <v>3</v>
      </c>
      <c r="AA21" s="18">
        <v>4</v>
      </c>
      <c r="AB21" s="24">
        <v>4</v>
      </c>
    </row>
    <row r="22" spans="1:36" ht="12.75" customHeight="1" x14ac:dyDescent="0.3">
      <c r="A22" s="134"/>
      <c r="B22" s="101">
        <v>46203</v>
      </c>
      <c r="C22" s="113" t="s">
        <v>87</v>
      </c>
      <c r="D22" s="103" t="s">
        <v>44</v>
      </c>
      <c r="E22" s="103" t="s">
        <v>63</v>
      </c>
      <c r="F22" s="105">
        <v>1</v>
      </c>
      <c r="G22" s="105">
        <v>2</v>
      </c>
      <c r="H22" s="107" t="str">
        <f t="shared" si="0"/>
        <v>V</v>
      </c>
      <c r="I22" s="26" t="s">
        <v>15</v>
      </c>
      <c r="J22" s="13" t="s">
        <v>15</v>
      </c>
      <c r="K22" s="13" t="s">
        <v>15</v>
      </c>
      <c r="L22" s="13" t="s">
        <v>15</v>
      </c>
      <c r="M22" s="13" t="s">
        <v>15</v>
      </c>
      <c r="N22" s="13" t="s">
        <v>15</v>
      </c>
      <c r="O22" s="13" t="s">
        <v>15</v>
      </c>
      <c r="P22" s="13" t="s">
        <v>16</v>
      </c>
      <c r="Q22" s="13" t="s">
        <v>15</v>
      </c>
      <c r="R22" s="13" t="s">
        <v>15</v>
      </c>
      <c r="S22" s="13" t="s">
        <v>15</v>
      </c>
      <c r="T22" s="13" t="s">
        <v>15</v>
      </c>
      <c r="U22" s="13" t="s">
        <v>15</v>
      </c>
      <c r="V22" s="13" t="s">
        <v>15</v>
      </c>
      <c r="W22" s="13" t="s">
        <v>15</v>
      </c>
      <c r="X22" s="13" t="s">
        <v>7</v>
      </c>
      <c r="Y22" s="13" t="s">
        <v>15</v>
      </c>
      <c r="Z22" s="13" t="s">
        <v>16</v>
      </c>
      <c r="AA22" s="13" t="s">
        <v>15</v>
      </c>
      <c r="AB22" s="25" t="s">
        <v>7</v>
      </c>
    </row>
    <row r="23" spans="1:36" ht="12.75" customHeight="1" x14ac:dyDescent="0.3">
      <c r="A23" s="134"/>
      <c r="B23" s="102"/>
      <c r="C23" s="114"/>
      <c r="D23" s="104"/>
      <c r="E23" s="104"/>
      <c r="F23" s="106"/>
      <c r="G23" s="106"/>
      <c r="H23" s="108"/>
      <c r="I23" s="26">
        <v>2</v>
      </c>
      <c r="J23" s="13">
        <v>3</v>
      </c>
      <c r="K23" s="13">
        <v>3</v>
      </c>
      <c r="L23" s="13">
        <v>4</v>
      </c>
      <c r="M23" s="13">
        <v>2</v>
      </c>
      <c r="N23" s="13">
        <v>3</v>
      </c>
      <c r="O23" s="13">
        <v>3</v>
      </c>
      <c r="P23" s="13">
        <v>2</v>
      </c>
      <c r="Q23" s="13">
        <v>3</v>
      </c>
      <c r="R23" s="13">
        <v>3</v>
      </c>
      <c r="S23" s="13">
        <v>2</v>
      </c>
      <c r="T23" s="13">
        <v>3</v>
      </c>
      <c r="U23" s="13">
        <v>2</v>
      </c>
      <c r="V23" s="13">
        <v>4</v>
      </c>
      <c r="W23" s="13">
        <v>2</v>
      </c>
      <c r="X23" s="13">
        <v>3</v>
      </c>
      <c r="Y23" s="13">
        <v>4</v>
      </c>
      <c r="Z23" s="13">
        <v>2</v>
      </c>
      <c r="AA23" s="13">
        <v>4</v>
      </c>
      <c r="AB23" s="25">
        <v>3</v>
      </c>
    </row>
    <row r="24" spans="1:36" ht="12.75" customHeight="1" x14ac:dyDescent="0.3">
      <c r="A24" s="134"/>
      <c r="B24" s="101">
        <v>46203</v>
      </c>
      <c r="C24" s="113" t="s">
        <v>88</v>
      </c>
      <c r="D24" s="103" t="s">
        <v>146</v>
      </c>
      <c r="E24" s="126" t="s">
        <v>45</v>
      </c>
      <c r="F24" s="105">
        <v>2</v>
      </c>
      <c r="G24" s="105">
        <v>0</v>
      </c>
      <c r="H24" s="107" t="str">
        <f t="shared" si="0"/>
        <v>L</v>
      </c>
      <c r="I24" s="23" t="s">
        <v>7</v>
      </c>
      <c r="J24" s="18" t="s">
        <v>7</v>
      </c>
      <c r="K24" s="18" t="s">
        <v>7</v>
      </c>
      <c r="L24" s="18" t="s">
        <v>7</v>
      </c>
      <c r="M24" s="18" t="s">
        <v>7</v>
      </c>
      <c r="N24" s="18" t="s">
        <v>7</v>
      </c>
      <c r="O24" s="18" t="s">
        <v>7</v>
      </c>
      <c r="P24" s="18" t="s">
        <v>7</v>
      </c>
      <c r="Q24" s="18" t="s">
        <v>7</v>
      </c>
      <c r="R24" s="18" t="s">
        <v>7</v>
      </c>
      <c r="S24" s="18" t="s">
        <v>7</v>
      </c>
      <c r="T24" s="18" t="s">
        <v>7</v>
      </c>
      <c r="U24" s="18" t="s">
        <v>7</v>
      </c>
      <c r="V24" s="18" t="s">
        <v>7</v>
      </c>
      <c r="W24" s="18" t="s">
        <v>7</v>
      </c>
      <c r="X24" s="18" t="s">
        <v>7</v>
      </c>
      <c r="Y24" s="18" t="s">
        <v>7</v>
      </c>
      <c r="Z24" s="18" t="s">
        <v>7</v>
      </c>
      <c r="AA24" s="18" t="s">
        <v>7</v>
      </c>
      <c r="AB24" s="24" t="s">
        <v>7</v>
      </c>
    </row>
    <row r="25" spans="1:36" ht="12.75" customHeight="1" x14ac:dyDescent="0.3">
      <c r="A25" s="134"/>
      <c r="B25" s="102"/>
      <c r="C25" s="114"/>
      <c r="D25" s="104"/>
      <c r="E25" s="127"/>
      <c r="F25" s="106"/>
      <c r="G25" s="106"/>
      <c r="H25" s="108"/>
      <c r="I25" s="23">
        <v>3</v>
      </c>
      <c r="J25" s="18">
        <v>2</v>
      </c>
      <c r="K25" s="18">
        <v>1</v>
      </c>
      <c r="L25" s="18">
        <v>2</v>
      </c>
      <c r="M25" s="18">
        <v>3</v>
      </c>
      <c r="N25" s="18">
        <v>3</v>
      </c>
      <c r="O25" s="18">
        <v>1</v>
      </c>
      <c r="P25" s="18">
        <v>3</v>
      </c>
      <c r="Q25" s="18">
        <v>2</v>
      </c>
      <c r="R25" s="18">
        <v>2</v>
      </c>
      <c r="S25" s="18">
        <v>1</v>
      </c>
      <c r="T25" s="18">
        <v>3</v>
      </c>
      <c r="U25" s="18">
        <v>2</v>
      </c>
      <c r="V25" s="18">
        <v>3</v>
      </c>
      <c r="W25" s="18">
        <v>3</v>
      </c>
      <c r="X25" s="18">
        <v>3</v>
      </c>
      <c r="Y25" s="18">
        <v>3</v>
      </c>
      <c r="Z25" s="18">
        <v>3</v>
      </c>
      <c r="AA25" s="18">
        <v>2</v>
      </c>
      <c r="AB25" s="24">
        <v>3</v>
      </c>
    </row>
    <row r="26" spans="1:36" ht="12.75" customHeight="1" x14ac:dyDescent="0.3">
      <c r="A26" s="134"/>
      <c r="B26" s="101">
        <v>46204</v>
      </c>
      <c r="C26" s="113" t="s">
        <v>89</v>
      </c>
      <c r="D26" s="103" t="s">
        <v>24</v>
      </c>
      <c r="E26" s="103" t="s">
        <v>147</v>
      </c>
      <c r="F26" s="105">
        <v>2</v>
      </c>
      <c r="G26" s="105">
        <v>1</v>
      </c>
      <c r="H26" s="107" t="str">
        <f t="shared" si="0"/>
        <v>L</v>
      </c>
      <c r="I26" s="26" t="s">
        <v>7</v>
      </c>
      <c r="J26" s="13"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25" t="s">
        <v>7</v>
      </c>
    </row>
    <row r="27" spans="1:36" ht="12.75" customHeight="1" x14ac:dyDescent="0.3">
      <c r="A27" s="134"/>
      <c r="B27" s="102"/>
      <c r="C27" s="114"/>
      <c r="D27" s="104"/>
      <c r="E27" s="104"/>
      <c r="F27" s="106"/>
      <c r="G27" s="106"/>
      <c r="H27" s="108"/>
      <c r="I27" s="26">
        <v>2</v>
      </c>
      <c r="J27" s="13">
        <v>2</v>
      </c>
      <c r="K27" s="13">
        <v>2</v>
      </c>
      <c r="L27" s="13">
        <v>4</v>
      </c>
      <c r="M27" s="13">
        <v>2</v>
      </c>
      <c r="N27" s="13">
        <v>3</v>
      </c>
      <c r="O27" s="13">
        <v>4</v>
      </c>
      <c r="P27" s="13">
        <v>3</v>
      </c>
      <c r="Q27" s="13">
        <v>3</v>
      </c>
      <c r="R27" s="13">
        <v>2</v>
      </c>
      <c r="S27" s="13">
        <v>2</v>
      </c>
      <c r="T27" s="13">
        <v>3</v>
      </c>
      <c r="U27" s="13">
        <v>3</v>
      </c>
      <c r="V27" s="13">
        <v>4</v>
      </c>
      <c r="W27" s="13">
        <v>4</v>
      </c>
      <c r="X27" s="13">
        <v>4</v>
      </c>
      <c r="Y27" s="13">
        <v>1</v>
      </c>
      <c r="Z27" s="13">
        <v>2</v>
      </c>
      <c r="AA27" s="13">
        <v>2</v>
      </c>
      <c r="AB27" s="25">
        <v>2</v>
      </c>
    </row>
    <row r="28" spans="1:36" ht="12.75" customHeight="1" x14ac:dyDescent="0.3">
      <c r="A28" s="134"/>
      <c r="B28" s="117">
        <v>46206</v>
      </c>
      <c r="C28" s="124" t="s">
        <v>90</v>
      </c>
      <c r="D28" s="121" t="s">
        <v>65</v>
      </c>
      <c r="E28" s="121" t="s">
        <v>61</v>
      </c>
      <c r="F28" s="122"/>
      <c r="G28" s="122"/>
      <c r="H28" s="115" t="str">
        <f t="shared" si="0"/>
        <v>-</v>
      </c>
      <c r="I28" s="27" t="s">
        <v>7</v>
      </c>
      <c r="J28" s="19" t="s">
        <v>7</v>
      </c>
      <c r="K28" s="19" t="s">
        <v>7</v>
      </c>
      <c r="L28" s="19" t="s">
        <v>7</v>
      </c>
      <c r="M28" s="19" t="s">
        <v>7</v>
      </c>
      <c r="N28" s="19" t="s">
        <v>7</v>
      </c>
      <c r="O28" s="19" t="s">
        <v>7</v>
      </c>
      <c r="P28" s="19" t="s">
        <v>7</v>
      </c>
      <c r="Q28" s="19" t="s">
        <v>7</v>
      </c>
      <c r="R28" s="19" t="s">
        <v>7</v>
      </c>
      <c r="S28" s="19" t="s">
        <v>7</v>
      </c>
      <c r="T28" s="19" t="s">
        <v>7</v>
      </c>
      <c r="U28" s="19" t="s">
        <v>7</v>
      </c>
      <c r="V28" s="19" t="s">
        <v>7</v>
      </c>
      <c r="W28" s="19" t="s">
        <v>7</v>
      </c>
      <c r="X28" s="19" t="s">
        <v>7</v>
      </c>
      <c r="Y28" s="19" t="s">
        <v>7</v>
      </c>
      <c r="Z28" s="19" t="s">
        <v>7</v>
      </c>
      <c r="AA28" s="19" t="s">
        <v>7</v>
      </c>
      <c r="AB28" s="28" t="s">
        <v>7</v>
      </c>
    </row>
    <row r="29" spans="1:36" ht="12.75" customHeight="1" x14ac:dyDescent="0.3">
      <c r="A29" s="134"/>
      <c r="B29" s="118"/>
      <c r="C29" s="125"/>
      <c r="D29" s="120"/>
      <c r="E29" s="120"/>
      <c r="F29" s="123"/>
      <c r="G29" s="123"/>
      <c r="H29" s="116"/>
      <c r="I29" s="27">
        <v>3</v>
      </c>
      <c r="J29" s="19">
        <v>3</v>
      </c>
      <c r="K29" s="19">
        <v>4</v>
      </c>
      <c r="L29" s="19">
        <v>3</v>
      </c>
      <c r="M29" s="19">
        <v>4</v>
      </c>
      <c r="N29" s="19">
        <v>4</v>
      </c>
      <c r="O29" s="19">
        <v>4</v>
      </c>
      <c r="P29" s="19">
        <v>3</v>
      </c>
      <c r="Q29" s="19">
        <v>2</v>
      </c>
      <c r="R29" s="19">
        <v>4</v>
      </c>
      <c r="S29" s="19">
        <v>3</v>
      </c>
      <c r="T29" s="19">
        <v>3</v>
      </c>
      <c r="U29" s="19">
        <v>3</v>
      </c>
      <c r="V29" s="19">
        <v>3</v>
      </c>
      <c r="W29" s="19">
        <v>2</v>
      </c>
      <c r="X29" s="19">
        <v>4</v>
      </c>
      <c r="Y29" s="19">
        <v>3</v>
      </c>
      <c r="Z29" s="19">
        <v>2</v>
      </c>
      <c r="AA29" s="19">
        <v>2</v>
      </c>
      <c r="AB29" s="28">
        <v>4</v>
      </c>
    </row>
    <row r="30" spans="1:36" ht="12.75" customHeight="1" x14ac:dyDescent="0.3">
      <c r="A30" s="134"/>
      <c r="B30" s="117">
        <v>46206</v>
      </c>
      <c r="C30" s="124" t="s">
        <v>87</v>
      </c>
      <c r="D30" s="121" t="s">
        <v>42</v>
      </c>
      <c r="E30" s="128" t="s">
        <v>58</v>
      </c>
      <c r="F30" s="122"/>
      <c r="G30" s="122"/>
      <c r="H30" s="115" t="str">
        <f t="shared" si="0"/>
        <v>-</v>
      </c>
      <c r="I30" s="26" t="s">
        <v>16</v>
      </c>
      <c r="J30" s="13" t="s">
        <v>16</v>
      </c>
      <c r="K30" s="13" t="s">
        <v>15</v>
      </c>
      <c r="L30" s="13" t="s">
        <v>15</v>
      </c>
      <c r="M30" s="13" t="s">
        <v>15</v>
      </c>
      <c r="N30" s="13" t="s">
        <v>7</v>
      </c>
      <c r="O30" s="13" t="s">
        <v>16</v>
      </c>
      <c r="P30" s="13" t="s">
        <v>16</v>
      </c>
      <c r="Q30" s="13" t="s">
        <v>15</v>
      </c>
      <c r="R30" s="13" t="s">
        <v>15</v>
      </c>
      <c r="S30" s="13" t="s">
        <v>15</v>
      </c>
      <c r="T30" s="13" t="s">
        <v>15</v>
      </c>
      <c r="U30" s="13" t="s">
        <v>16</v>
      </c>
      <c r="V30" s="13" t="s">
        <v>15</v>
      </c>
      <c r="W30" s="13" t="s">
        <v>16</v>
      </c>
      <c r="X30" s="13" t="s">
        <v>15</v>
      </c>
      <c r="Y30" s="13" t="s">
        <v>15</v>
      </c>
      <c r="Z30" s="13" t="s">
        <v>16</v>
      </c>
      <c r="AA30" s="13" t="s">
        <v>15</v>
      </c>
      <c r="AB30" s="25" t="s">
        <v>15</v>
      </c>
    </row>
    <row r="31" spans="1:36" ht="12.75" customHeight="1" x14ac:dyDescent="0.3">
      <c r="A31" s="134"/>
      <c r="B31" s="118"/>
      <c r="C31" s="125"/>
      <c r="D31" s="120"/>
      <c r="E31" s="129"/>
      <c r="F31" s="123"/>
      <c r="G31" s="123"/>
      <c r="H31" s="116"/>
      <c r="I31" s="26">
        <v>2</v>
      </c>
      <c r="J31" s="13">
        <v>2</v>
      </c>
      <c r="K31" s="13">
        <v>1</v>
      </c>
      <c r="L31" s="13">
        <v>3</v>
      </c>
      <c r="M31" s="13">
        <v>1</v>
      </c>
      <c r="N31" s="13">
        <v>1</v>
      </c>
      <c r="O31" s="13">
        <v>2</v>
      </c>
      <c r="P31" s="13">
        <v>2</v>
      </c>
      <c r="Q31" s="13">
        <v>1</v>
      </c>
      <c r="R31" s="13">
        <v>3</v>
      </c>
      <c r="S31" s="13">
        <v>1</v>
      </c>
      <c r="T31" s="13">
        <v>3</v>
      </c>
      <c r="U31" s="13">
        <v>2</v>
      </c>
      <c r="V31" s="13">
        <v>3</v>
      </c>
      <c r="W31" s="13">
        <v>2</v>
      </c>
      <c r="X31" s="13">
        <v>3</v>
      </c>
      <c r="Y31" s="13">
        <v>1</v>
      </c>
      <c r="Z31" s="13">
        <v>2</v>
      </c>
      <c r="AA31" s="13">
        <v>3</v>
      </c>
      <c r="AB31" s="25">
        <v>1</v>
      </c>
    </row>
    <row r="32" spans="1:36" ht="12.75" customHeight="1" x14ac:dyDescent="0.3">
      <c r="A32" s="134"/>
      <c r="B32" s="117">
        <v>46205</v>
      </c>
      <c r="C32" s="124" t="s">
        <v>91</v>
      </c>
      <c r="D32" s="121" t="s">
        <v>22</v>
      </c>
      <c r="E32" s="128" t="s">
        <v>67</v>
      </c>
      <c r="F32" s="122"/>
      <c r="G32" s="122"/>
      <c r="H32" s="115" t="str">
        <f t="shared" si="0"/>
        <v>-</v>
      </c>
      <c r="I32" s="27" t="s">
        <v>7</v>
      </c>
      <c r="J32" s="19" t="s">
        <v>7</v>
      </c>
      <c r="K32" s="19" t="s">
        <v>7</v>
      </c>
      <c r="L32" s="19" t="s">
        <v>7</v>
      </c>
      <c r="M32" s="19" t="s">
        <v>16</v>
      </c>
      <c r="N32" s="19" t="s">
        <v>16</v>
      </c>
      <c r="O32" s="19" t="s">
        <v>7</v>
      </c>
      <c r="P32" s="19" t="s">
        <v>7</v>
      </c>
      <c r="Q32" s="19" t="s">
        <v>7</v>
      </c>
      <c r="R32" s="19" t="s">
        <v>7</v>
      </c>
      <c r="S32" s="19" t="s">
        <v>7</v>
      </c>
      <c r="T32" s="19" t="s">
        <v>7</v>
      </c>
      <c r="U32" s="19" t="s">
        <v>7</v>
      </c>
      <c r="V32" s="19" t="s">
        <v>7</v>
      </c>
      <c r="W32" s="19" t="s">
        <v>7</v>
      </c>
      <c r="X32" s="19" t="s">
        <v>7</v>
      </c>
      <c r="Y32" s="19" t="s">
        <v>7</v>
      </c>
      <c r="Z32" s="19" t="s">
        <v>7</v>
      </c>
      <c r="AA32" s="19" t="s">
        <v>7</v>
      </c>
      <c r="AB32" s="28" t="s">
        <v>7</v>
      </c>
    </row>
    <row r="33" spans="1:28" ht="12.75" customHeight="1" x14ac:dyDescent="0.3">
      <c r="A33" s="134"/>
      <c r="B33" s="118"/>
      <c r="C33" s="125"/>
      <c r="D33" s="120"/>
      <c r="E33" s="129"/>
      <c r="F33" s="123"/>
      <c r="G33" s="123"/>
      <c r="H33" s="116"/>
      <c r="I33" s="27">
        <v>3</v>
      </c>
      <c r="J33" s="19">
        <v>3</v>
      </c>
      <c r="K33" s="19">
        <v>2</v>
      </c>
      <c r="L33" s="19">
        <v>3</v>
      </c>
      <c r="M33" s="19">
        <v>2</v>
      </c>
      <c r="N33" s="19">
        <v>4</v>
      </c>
      <c r="O33" s="19">
        <v>3</v>
      </c>
      <c r="P33" s="19">
        <v>4</v>
      </c>
      <c r="Q33" s="19">
        <v>3</v>
      </c>
      <c r="R33" s="19">
        <v>2</v>
      </c>
      <c r="S33" s="19">
        <v>4</v>
      </c>
      <c r="T33" s="19">
        <v>3</v>
      </c>
      <c r="U33" s="19">
        <v>3</v>
      </c>
      <c r="V33" s="19">
        <v>2</v>
      </c>
      <c r="W33" s="19">
        <v>3</v>
      </c>
      <c r="X33" s="19">
        <v>3</v>
      </c>
      <c r="Y33" s="19">
        <v>1</v>
      </c>
      <c r="Z33" s="19">
        <v>1</v>
      </c>
      <c r="AA33" s="19">
        <v>3</v>
      </c>
      <c r="AB33" s="28">
        <v>2</v>
      </c>
    </row>
    <row r="34" spans="1:28" ht="12.75" customHeight="1" x14ac:dyDescent="0.3">
      <c r="A34" s="134"/>
      <c r="B34" s="117">
        <v>46206</v>
      </c>
      <c r="C34" s="124" t="s">
        <v>92</v>
      </c>
      <c r="D34" s="121" t="s">
        <v>69</v>
      </c>
      <c r="E34" s="121" t="s">
        <v>71</v>
      </c>
      <c r="F34" s="122"/>
      <c r="G34" s="122"/>
      <c r="H34" s="115" t="str">
        <f t="shared" si="0"/>
        <v>-</v>
      </c>
      <c r="I34" s="26" t="s">
        <v>7</v>
      </c>
      <c r="J34" s="13" t="s">
        <v>16</v>
      </c>
      <c r="K34" s="13" t="s">
        <v>16</v>
      </c>
      <c r="L34" s="13" t="s">
        <v>7</v>
      </c>
      <c r="M34" s="13" t="s">
        <v>7</v>
      </c>
      <c r="N34" s="13" t="s">
        <v>7</v>
      </c>
      <c r="O34" s="13" t="s">
        <v>7</v>
      </c>
      <c r="P34" s="13" t="s">
        <v>7</v>
      </c>
      <c r="Q34" s="13" t="s">
        <v>7</v>
      </c>
      <c r="R34" s="13" t="s">
        <v>7</v>
      </c>
      <c r="S34" s="13" t="s">
        <v>7</v>
      </c>
      <c r="T34" s="13" t="s">
        <v>7</v>
      </c>
      <c r="U34" s="13" t="s">
        <v>7</v>
      </c>
      <c r="V34" s="13" t="s">
        <v>7</v>
      </c>
      <c r="W34" s="13" t="s">
        <v>7</v>
      </c>
      <c r="X34" s="13" t="s">
        <v>7</v>
      </c>
      <c r="Y34" s="13" t="s">
        <v>7</v>
      </c>
      <c r="Z34" s="13" t="s">
        <v>7</v>
      </c>
      <c r="AA34" s="13" t="s">
        <v>7</v>
      </c>
      <c r="AB34" s="25" t="s">
        <v>7</v>
      </c>
    </row>
    <row r="35" spans="1:28" ht="12.75" customHeight="1" x14ac:dyDescent="0.3">
      <c r="A35" s="135"/>
      <c r="B35" s="118"/>
      <c r="C35" s="125"/>
      <c r="D35" s="120"/>
      <c r="E35" s="120"/>
      <c r="F35" s="123"/>
      <c r="G35" s="123"/>
      <c r="H35" s="116"/>
      <c r="I35" s="26">
        <v>2</v>
      </c>
      <c r="J35" s="13">
        <v>2</v>
      </c>
      <c r="K35" s="13">
        <v>2</v>
      </c>
      <c r="L35" s="13">
        <v>2</v>
      </c>
      <c r="M35" s="13">
        <v>3</v>
      </c>
      <c r="N35" s="13">
        <v>3</v>
      </c>
      <c r="O35" s="13">
        <v>4</v>
      </c>
      <c r="P35" s="13">
        <v>3</v>
      </c>
      <c r="Q35" s="13">
        <v>1</v>
      </c>
      <c r="R35" s="13">
        <v>3</v>
      </c>
      <c r="S35" s="13">
        <v>3</v>
      </c>
      <c r="T35" s="13">
        <v>2</v>
      </c>
      <c r="U35" s="13">
        <v>4</v>
      </c>
      <c r="V35" s="13">
        <v>3</v>
      </c>
      <c r="W35" s="13">
        <v>4</v>
      </c>
      <c r="X35" s="13">
        <v>2</v>
      </c>
      <c r="Y35" s="13">
        <v>2</v>
      </c>
      <c r="Z35" s="13">
        <v>3</v>
      </c>
      <c r="AA35" s="13">
        <v>3</v>
      </c>
      <c r="AB35" s="25">
        <v>3</v>
      </c>
    </row>
    <row r="36" spans="1:28" ht="12.75" customHeight="1" x14ac:dyDescent="0.3">
      <c r="E36" s="130" t="s">
        <v>10</v>
      </c>
      <c r="F36" s="130"/>
      <c r="G36" s="130"/>
      <c r="H36" s="5">
        <f>SUM(F4:G35)</f>
        <v>25</v>
      </c>
      <c r="I36" s="51">
        <f>SUM(I35,I33,I31,I29,I27,I25,I23,I21,I19,I17,I15,I13,I11,I9,I7,I5)</f>
        <v>41</v>
      </c>
      <c r="J36" s="15">
        <f>SUM(J35,J33,J31,J29,J27,J25,J23,J21,J19,J17,J15,J13,J11,J9,J7,J5)</f>
        <v>40</v>
      </c>
      <c r="K36" s="15">
        <f>SUM(K35,K33,K31,K29,K27,K25,K23,K21,K19,K17,K15,K13,K11,K9,K7,K5)</f>
        <v>38</v>
      </c>
      <c r="L36" s="15">
        <f>SUM(L35,L33,L31,L29,L27,L25,L23,L21,L19,L17,L15,L13,L11,L9,L7,L5)</f>
        <v>49</v>
      </c>
      <c r="M36" s="15">
        <f>SUM(M35,M33,M31,M29,M27,M25,M23,M21,M19,M17,M15,M13,M11,M9,M7,M5)</f>
        <v>45</v>
      </c>
      <c r="N36" s="15">
        <f>SUM(N35,N33,N31,N29,N27,N25,N23,N21,N19,N17,N15,N13,N11,N9,N7,N5)</f>
        <v>50</v>
      </c>
      <c r="O36" s="15">
        <f>SUM(O35,O33,O31,O29,O27,O25,O23,O21,O19,O17,O15,O13,O11,O9,O7,O5)</f>
        <v>46</v>
      </c>
      <c r="P36" s="15">
        <f>SUM(P35,P33,P31,P29,P27,P25,P23,P21,P19,P17,P15,P13,P11,P9,P7,P5)</f>
        <v>46</v>
      </c>
      <c r="Q36" s="15">
        <f>SUM(Q35,Q33,Q31,Q29,Q27,Q25,Q23,Q21,Q19,Q17,Q15,Q13,Q11,Q9,Q7,Q5)</f>
        <v>38</v>
      </c>
      <c r="R36" s="15">
        <f>SUM(R35,R33,R31,R29,R27,R25,R23,R21,R19,R17,R15,R13,R11,R9,R7,R5)</f>
        <v>48</v>
      </c>
      <c r="S36" s="15">
        <f>SUM(S35,S33,S31,S29,S27,S25,S23,S21,S19,S17,S15,S13,S11,S9,S7,S5)</f>
        <v>38</v>
      </c>
      <c r="T36" s="15">
        <f>SUM(T35,T33,T31,T29,T27,T25,T23,T21,T19,T17,T15,T13,T11,T9,T7,T5)</f>
        <v>48</v>
      </c>
      <c r="U36" s="15">
        <f>SUM(U35,U33,U31,U29,U27,U25,U23,U21,U19,U17,U15,U13,U11,U9,U7,U5)</f>
        <v>45</v>
      </c>
      <c r="V36" s="15">
        <f>SUM(V35,V33,V31,V29,V27,V25,V23,V21,V19,V17,V15,V13,V11,V9,V7,V5)</f>
        <v>56</v>
      </c>
      <c r="W36" s="15">
        <f>SUM(W35,W33,W31,W29,W27,W25,W23,W21,W19,W17,W15,W13,W11,W9,W7,W5)</f>
        <v>51</v>
      </c>
      <c r="X36" s="15">
        <f>SUM(X35,X33,X31,X29,X27,X25,X23,X21,X19,X17,X15,X13,X11,X9,X7,X5)</f>
        <v>50</v>
      </c>
      <c r="Y36" s="15">
        <f>SUM(Y35,Y33,Y31,Y29,Y27,Y25,Y23,Y21,Y19,Y17,Y15,Y13,Y11,Y9,Y7,Y5)</f>
        <v>41</v>
      </c>
      <c r="Z36" s="15">
        <f>SUM(Z35,Z33,Z31,Z29,Z27,Z25,Z23,Z21,Z19,Z17,Z15,Z13,Z11,Z9,Z7,Z5)</f>
        <v>41</v>
      </c>
      <c r="AA36" s="15">
        <f>SUM(AA35,AA33,AA31,AA29,AA27,AA25,AA23,AA21,AA19,AA17,AA15,AA13,AA11,AA9,AA7,AA5)</f>
        <v>45</v>
      </c>
      <c r="AB36" s="30">
        <f>SUM(AB35,AB33,AB31,AB29,AB27,AB25,AB23,AB21,AB19,AB17,AB15,AB13,AB11,AB9,AB7,AB5)</f>
        <v>45</v>
      </c>
    </row>
    <row r="37" spans="1:28" ht="33" customHeight="1" thickBot="1" x14ac:dyDescent="0.35">
      <c r="E37" s="131" t="s">
        <v>14</v>
      </c>
      <c r="F37" s="131"/>
      <c r="G37" s="131"/>
      <c r="H37" s="131"/>
      <c r="I37" s="31">
        <f>SUM(I38:I41)</f>
        <v>84</v>
      </c>
      <c r="J37" s="32">
        <f>SUM(J38:J41)</f>
        <v>85</v>
      </c>
      <c r="K37" s="32">
        <f>SUM(K38:K41)</f>
        <v>87</v>
      </c>
      <c r="L37" s="32">
        <f>SUM(L38:L41)</f>
        <v>76</v>
      </c>
      <c r="M37" s="32">
        <f>SUM(M38:M41)</f>
        <v>80</v>
      </c>
      <c r="N37" s="32">
        <f>SUM(N38:N41)</f>
        <v>75</v>
      </c>
      <c r="O37" s="32">
        <f>SUM(O38:O41)</f>
        <v>79</v>
      </c>
      <c r="P37" s="32">
        <f>SUM(P38:P41)</f>
        <v>79</v>
      </c>
      <c r="Q37" s="32">
        <f>SUM(Q38:Q41)</f>
        <v>87</v>
      </c>
      <c r="R37" s="32">
        <f>SUM(R38:R41)</f>
        <v>77</v>
      </c>
      <c r="S37" s="32">
        <f>SUM(S38:S41)</f>
        <v>87</v>
      </c>
      <c r="T37" s="32">
        <f>SUM(T38:T41)</f>
        <v>77</v>
      </c>
      <c r="U37" s="32">
        <f>SUM(U38:U41)</f>
        <v>80</v>
      </c>
      <c r="V37" s="32">
        <f>SUM(V38:V41)</f>
        <v>69</v>
      </c>
      <c r="W37" s="32">
        <f>SUM(W38:W41)</f>
        <v>74</v>
      </c>
      <c r="X37" s="32">
        <f>SUM(X38:X41)</f>
        <v>75</v>
      </c>
      <c r="Y37" s="32">
        <f>SUM(Y38:Y41)</f>
        <v>84</v>
      </c>
      <c r="Z37" s="32">
        <f>SUM(Z38:Z41)</f>
        <v>84</v>
      </c>
      <c r="AA37" s="32">
        <f>SUM(AA38:AA41)</f>
        <v>80</v>
      </c>
      <c r="AB37" s="33">
        <f>SUM(AB38:AB41)</f>
        <v>80</v>
      </c>
    </row>
    <row r="38" spans="1:28"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84</v>
      </c>
      <c r="J38" s="4">
        <f t="shared" ref="J38:Q38" si="1">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85</v>
      </c>
      <c r="K38" s="4">
        <f t="shared" si="1"/>
        <v>87</v>
      </c>
      <c r="L38" s="4">
        <f t="shared" si="1"/>
        <v>76</v>
      </c>
      <c r="M38" s="4">
        <f t="shared" si="1"/>
        <v>80</v>
      </c>
      <c r="N38" s="4">
        <f t="shared" si="1"/>
        <v>75</v>
      </c>
      <c r="O38" s="4">
        <f t="shared" si="1"/>
        <v>79</v>
      </c>
      <c r="P38" s="4">
        <f t="shared" si="1"/>
        <v>79</v>
      </c>
      <c r="Q38" s="4">
        <f t="shared" si="1"/>
        <v>87</v>
      </c>
      <c r="R38" s="4">
        <f t="shared" ref="R38:AB38" si="2">IF(R36=$H$36,100,IF($H$36-R36=1,99,IF($H$36-R36=-1,99,IF($H$36-R36=2,98,IF($H$36-R36=-2,98,IF($H$36-R36=3,97,IF($H$36-R36=-3,97,IF($H$36-R36=4,96,IF($H$36-R36=-4,96,IF($H$36-R36=5,95,IF($H$36-R36=-5,95,IF($H$36-R36=6,94,IF($H$36-R36=-6,94,IF($H$36-R36=7,93,IF($H$36-R36=-7,93,IF($H$36-R36=8,92,IF($H$36-R36=-8,92,IF($H$36-R36=9,91,IF($H$36-R36=-9,91,IF($H$36-R36=10,90,IF($H$36-R36=-10,90,IF($H$36-R36=11,89,IF($H$36-R36=-11,89,IF($H$36-R36=12,88,IF($H$36-R36=-12,88,IF($H$36-R36=13,87,IF($H$36-R36=-13,87,IF($H$36-R36=14,86,IF($H$36-R36=-14,86,IF($H$36-R36=15,85,IF($H$36-R36=-15,85,IF($H$36-R36=16,84,IF($H$36-R36=-16,84,IF($H$36-R36=17,83,IF($H$36-R36=-17,83,IF($H$36-R36=18,82,IF($H$36-R36=-18,82,IF($H$36-R36=19,81,IF($H$36-R36=-19,81,IF($H$36-R36=20,80,IF($H$36-R36=-20,80,IF($H$36-R36=21,79,IF($H$36-R36=-21,79,IF($H$36-R36=22,78,IF($H$36-R36=-22,78,IF($H$36-R36=23,77,IF($H$36-R36=-23,77,IF($H$36-R36=24,76,IF($H$36-R36=-24,76,IF($H$36-R36=25,75,IF($H$36-R36=-25,75,IF($H$36-R36=26,74,IF($H$36-R36=-26,74,IF($H$36-R36=27,73,IF($H$36-R36=-27,73,IF($H$36-R36=28,72,IF($H$36-R36=-28,72,IF($H$36-R36=29,71,IF($H$36-R36=-29,71,IF($H$36-R36=30,70,IF($H$36-R36=-30,70,IF($H$36-R36=31,69,IF($H$36-R36=-31,69,IF($H$36-R36=32,68,IF($H$36-R36=-32,68,0)))))))))))))))))))))))))))))))))))))))))))))))))))))))))))))))))</f>
        <v>77</v>
      </c>
      <c r="S38" s="4">
        <f t="shared" si="2"/>
        <v>87</v>
      </c>
      <c r="T38" s="4">
        <f t="shared" si="2"/>
        <v>77</v>
      </c>
      <c r="U38" s="4">
        <f t="shared" si="2"/>
        <v>80</v>
      </c>
      <c r="V38" s="4">
        <f t="shared" si="2"/>
        <v>69</v>
      </c>
      <c r="W38" s="4">
        <f t="shared" si="2"/>
        <v>74</v>
      </c>
      <c r="X38" s="4">
        <f t="shared" si="2"/>
        <v>75</v>
      </c>
      <c r="Y38" s="4">
        <f t="shared" si="2"/>
        <v>84</v>
      </c>
      <c r="Z38" s="4">
        <f t="shared" si="2"/>
        <v>84</v>
      </c>
      <c r="AA38" s="4">
        <f t="shared" si="2"/>
        <v>80</v>
      </c>
      <c r="AB38" s="4">
        <f t="shared" si="2"/>
        <v>80</v>
      </c>
    </row>
    <row r="39" spans="1:28"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Q39" si="3">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3"/>
        <v>0</v>
      </c>
      <c r="L39" s="4">
        <f t="shared" si="3"/>
        <v>0</v>
      </c>
      <c r="M39" s="4">
        <f t="shared" si="3"/>
        <v>0</v>
      </c>
      <c r="N39" s="4">
        <f t="shared" si="3"/>
        <v>0</v>
      </c>
      <c r="O39" s="4">
        <f t="shared" si="3"/>
        <v>0</v>
      </c>
      <c r="P39" s="4">
        <f t="shared" si="3"/>
        <v>0</v>
      </c>
      <c r="Q39" s="4">
        <f t="shared" si="3"/>
        <v>0</v>
      </c>
      <c r="R39" s="4">
        <f t="shared" ref="R39:AB39" si="4">IF($H$36-R36=33,67,IF($H$36-R36=-33,67,IF($H$36-R36=34,66,IF($H$36-R36=-34,66,IF($H$36-R36=35,65,IF($H$36-R36=-35,65,IF($H$36-R36=36,64,IF($H$36-R36=-36,64,IF($H$36-R36=37,63,IF($H$36-R36=-37,63,IF($H$36-R36=38,62,IF($H$36-R36=-38,62,IF($H$36-R36=39,61,IF($H$36-R36=-39,61,IF($H$36-R36=40,60,IF($H$36-R36=-40,60,IF($H$36-R36=41,59,IF($H$36-R36=-41,59,IF($H$36-R36=42,58,IF($H$36-R36=-42,58,IF($H$36-R36=43,57,IF($H$36-R36=-43,57,IF($H$36-R36=44,56,IF($H$36-R36=-44,56,IF($H$36-R36=45,55,IF($H$36-R36=-45,55,IF($H$36-R36=46,54,IF($H$36-R36=-46,54,IF($H$36-R36=47,53,IF($H$36-R36=-47,53,IF($H$36-R36=48,52,IF($H$36-R36=-48,52,IF($H$36-R36=49,51,IF($H$36-R36=-49,51,IF($H$36-R36=50,50,IF($H$36-R36=-50,50,IF($H$36-R36=51,49,IF($H$36-R36=-51,49,IF($H$36-R36=52,48,IF($H$36-R36=-52,48,IF($H$36-R36=53,47,IF($H$36-R36=-53,47,IF($H$36-R36=54,46,IF($H$36-R36=-54,46,IF($H$36-R36=55,45,IF($H$36-R36=-55,45,IF($H$36-R36=56,44,IF($H$36-R36=-56,44,IF($H$36-R36=57,43,IF($H$36-R36=-57,43,IF($H$36-R36=58,42,IF($H$36-R36=-58,42,IF($H$36-R36=59,41,IF($H$36-R36=-59,41,IF($H$36-R36=60,40,IF($H$36-R36=-60,40,IF($H$36-R36=61,39,IF($H$36-R36=-61,39,IF($H$36-R36=62,38,IF($H$36-R36=-62,38,IF($H$36-R36=63,37,IF($H$36-R36=-63,37,IF($H$36-R36=64,36,IF($H$36-R36=-64,36,IF($H$36-R36=65,35,0)))))))))))))))))))))))))))))))))))))))))))))))))))))))))))))))))</f>
        <v>0</v>
      </c>
      <c r="S39" s="4">
        <f t="shared" si="4"/>
        <v>0</v>
      </c>
      <c r="T39" s="4">
        <f t="shared" si="4"/>
        <v>0</v>
      </c>
      <c r="U39" s="4">
        <f t="shared" si="4"/>
        <v>0</v>
      </c>
      <c r="V39" s="4">
        <f t="shared" si="4"/>
        <v>0</v>
      </c>
      <c r="W39" s="4">
        <f t="shared" si="4"/>
        <v>0</v>
      </c>
      <c r="X39" s="4">
        <f t="shared" si="4"/>
        <v>0</v>
      </c>
      <c r="Y39" s="4">
        <f t="shared" si="4"/>
        <v>0</v>
      </c>
      <c r="Z39" s="4">
        <f t="shared" si="4"/>
        <v>0</v>
      </c>
      <c r="AA39" s="4">
        <f t="shared" si="4"/>
        <v>0</v>
      </c>
      <c r="AB39" s="4">
        <f t="shared" si="4"/>
        <v>0</v>
      </c>
    </row>
    <row r="40" spans="1:28"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Q40" si="5">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5"/>
        <v>0</v>
      </c>
      <c r="L40" s="4">
        <f t="shared" si="5"/>
        <v>0</v>
      </c>
      <c r="M40" s="4">
        <f t="shared" si="5"/>
        <v>0</v>
      </c>
      <c r="N40" s="4">
        <f t="shared" si="5"/>
        <v>0</v>
      </c>
      <c r="O40" s="4">
        <f t="shared" si="5"/>
        <v>0</v>
      </c>
      <c r="P40" s="4">
        <f t="shared" si="5"/>
        <v>0</v>
      </c>
      <c r="Q40" s="4">
        <f t="shared" si="5"/>
        <v>0</v>
      </c>
      <c r="R40" s="4">
        <f t="shared" ref="R40:AB40" si="6">IF($H$36-R36=-65,35,IF($H$36-R36=66,34,IF($H$36-R36=-66,34,IF($H$36-R36=67,33,IF($H$36-R36=-67,33,IF($H$36-R36=68,32,IF($H$36-R36=-68,32,IF($H$36-R36=69,31,IF($H$36-R36=-69,31,IF($H$36-R36=70,30,IF($H$36-R36=-70,30,IF($H$36-R36=71,29,IF($H$36-R36=-71,29,IF($H$36-R36=72,28,IF($H$36-R36=-72,28,IF($H$36-R36=73,27,IF($H$36-R36=-73,27,IF($H$36-R36=74,26,IF($H$36-R36=-74,26,IF($H$36-R36=75,25,IF($H$36-R36=-75,25,IF($H$36-R36=76,24,IF($H$36-R36=-76,24,IF($H$36-R36=77,23,IF($H$36-R36=-77,23,IF($H$36-R36=78,22,IF($H$36-R36=-78,22,IF($H$36-R36=79,21,IF($H$36-R36=-79,21,IF($H$36-R36=80,20,IF($H$36-R36=-80,20,IF($H$36-R36=81,19,IF($H$36-R36=-81,19,IF($H$36-R36=82,18,IF($H$36-R36=-82,18,IF($H$36-R36=83,17,IF($H$36-R36=-83,17,IF($H$36-R36=84,16,IF($H$36-R36=-84,16,IF($H$36-R36=85,15,IF($H$36-R36=-85,15,IF($H$36-R36=86,14,IF($H$36-R36=-86,14,IF($H$36-R36=87,13,IF($H$36-R36=-87,13,IF($H$36-R36=88,12,IF($H$36-R36=-88,12,IF($H$36-R36=89,11,IF($H$36-R36=-89,11,IF($H$36-R36=90,10,IF($H$36-R36=-90,10,IF($H$36-R36=91,9,IF($H$36-R36=-91,9,IF($H$36-R36=92,8,IF($H$36-R36=-92,8,IF($H$36-R36=93,7,IF($H$36-R36=-93,7,IF($H$36-R36=94,6,IF($H$36-R36=-94,6,IF($H$36-R36=95,5,IF($H$36-R36=-95,5,IF($H$36-R36=96,4,0))))))))))))))))))))))))))))))))))))))))))))))))))))))))))))))</f>
        <v>0</v>
      </c>
      <c r="S40" s="4">
        <f t="shared" si="6"/>
        <v>0</v>
      </c>
      <c r="T40" s="4">
        <f t="shared" si="6"/>
        <v>0</v>
      </c>
      <c r="U40" s="4">
        <f t="shared" si="6"/>
        <v>0</v>
      </c>
      <c r="V40" s="4">
        <f t="shared" si="6"/>
        <v>0</v>
      </c>
      <c r="W40" s="4">
        <f t="shared" si="6"/>
        <v>0</v>
      </c>
      <c r="X40" s="4">
        <f t="shared" si="6"/>
        <v>0</v>
      </c>
      <c r="Y40" s="4">
        <f t="shared" si="6"/>
        <v>0</v>
      </c>
      <c r="Z40" s="4">
        <f t="shared" si="6"/>
        <v>0</v>
      </c>
      <c r="AA40" s="4">
        <f t="shared" si="6"/>
        <v>0</v>
      </c>
      <c r="AB40" s="4">
        <f t="shared" si="6"/>
        <v>0</v>
      </c>
    </row>
    <row r="41" spans="1:28" x14ac:dyDescent="0.3">
      <c r="I41" s="4">
        <f>IF($H$36-I36=-96,4,IF($H$36-I36=97,3,IF($H$36-I36=-97,3,IF($H$36-I36=98,2,IF($H$36-I36=-98,2,IF($H$36-I36=99,1,IF($H$36-I36=-99,1,IF($H$36-I36=100,0,IF($H$36-I36=-100,0,0)))))))))</f>
        <v>0</v>
      </c>
      <c r="J41" s="4">
        <f t="shared" ref="J41:Q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ref="R41:AB41" si="8">IF($H$36-R36=-96,4,IF($H$36-R36=97,3,IF($H$36-R36=-97,3,IF($H$36-R36=98,2,IF($H$36-R36=-98,2,IF($H$36-R36=99,1,IF($H$36-R36=-99,1,IF($H$36-R36=100,0,IF($H$36-R36=-100,0,0)))))))))</f>
        <v>0</v>
      </c>
      <c r="S41" s="4">
        <f t="shared" si="8"/>
        <v>0</v>
      </c>
      <c r="T41" s="4">
        <f t="shared" si="8"/>
        <v>0</v>
      </c>
      <c r="U41" s="4">
        <f t="shared" si="8"/>
        <v>0</v>
      </c>
      <c r="V41" s="4">
        <f t="shared" si="8"/>
        <v>0</v>
      </c>
      <c r="W41" s="4">
        <f t="shared" si="8"/>
        <v>0</v>
      </c>
      <c r="X41" s="4">
        <f t="shared" si="8"/>
        <v>0</v>
      </c>
      <c r="Y41" s="4">
        <f t="shared" si="8"/>
        <v>0</v>
      </c>
      <c r="Z41" s="4">
        <f t="shared" si="8"/>
        <v>0</v>
      </c>
      <c r="AA41" s="4">
        <f t="shared" si="8"/>
        <v>0</v>
      </c>
      <c r="AB41" s="4">
        <f t="shared" si="8"/>
        <v>0</v>
      </c>
    </row>
    <row r="42" spans="1:28" ht="24" customHeight="1" x14ac:dyDescent="0.3">
      <c r="D42" s="132"/>
      <c r="E42" s="132"/>
      <c r="F42" s="132"/>
      <c r="G42" s="132"/>
    </row>
    <row r="43" spans="1:28" ht="24" customHeight="1" x14ac:dyDescent="0.3">
      <c r="D43" s="132"/>
      <c r="E43" s="132"/>
      <c r="F43" s="132"/>
      <c r="G43" s="132"/>
    </row>
    <row r="44" spans="1:28" ht="24" customHeight="1" x14ac:dyDescent="0.3">
      <c r="D44" s="132"/>
      <c r="E44" s="132"/>
      <c r="F44" s="132"/>
      <c r="G44" s="132"/>
    </row>
    <row r="65" spans="9:9" x14ac:dyDescent="0.3">
      <c r="I65" s="3">
        <v>1</v>
      </c>
    </row>
  </sheetData>
  <sortState xmlns:xlrd2="http://schemas.microsoft.com/office/spreadsheetml/2017/richdata2" columnSort="1" caseSensitive="1" ref="I2:AB37">
    <sortCondition descending="1" ref="I3:AB3"/>
    <sortCondition descending="1" ref="I36:AB36"/>
  </sortState>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3">
    <dataValidation type="list" allowBlank="1" showInputMessage="1" showErrorMessage="1" sqref="J11:AB11 I35:AB35 I33:AB33 I31:AB31 I29:AB29 I27:AB27 I25:AB25 I23:AB23 I21:AB21 I19:AB19 I17:AB17 I15:AB15 I13:AB13 I7:AB7 I5:AB5 I9:AB9" xr:uid="{15935602-46AC-4392-BF7C-7DDF6FAA9E44}">
      <formula1>$AJ$5:$AJ$19</formula1>
    </dataValidation>
    <dataValidation type="list" allowBlank="1" showInputMessage="1" showErrorMessage="1" sqref="I8:AB8 I10:AB10 I12:AB12 I14:AB14 I16:AB16 I18:AB18 I20:AB20 I22:AB22 I24:AB24 I26:AB26 I28:AB28 I30:AB30 I32:AB32 I34:AB34 I4:AB4 I6:AB6" xr:uid="{BDC1EAE2-2511-4D88-88D1-23B39B11E3B3}">
      <formula1>$AI$5:$AI$7</formula1>
    </dataValidation>
    <dataValidation type="list" allowBlank="1" showInputMessage="1" showErrorMessage="1" sqref="I11" xr:uid="{D691B724-3C81-4CBB-83E1-8DE82F59A04E}">
      <formula1>$AJ$5:$AJ$20</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09" t="s">
        <v>28</v>
      </c>
      <c r="B1" s="109"/>
      <c r="C1" s="109"/>
      <c r="D1" s="109"/>
      <c r="E1" s="109"/>
      <c r="F1" s="109"/>
      <c r="G1" s="109"/>
      <c r="H1" s="109"/>
      <c r="I1" s="44">
        <v>1</v>
      </c>
      <c r="J1" s="34">
        <v>2</v>
      </c>
      <c r="K1" s="34">
        <v>3</v>
      </c>
      <c r="L1" s="34">
        <v>4</v>
      </c>
      <c r="M1" s="34">
        <v>5</v>
      </c>
      <c r="N1" s="34">
        <v>6</v>
      </c>
      <c r="O1" s="37">
        <v>7</v>
      </c>
      <c r="P1" s="37">
        <v>8</v>
      </c>
      <c r="Q1" s="37">
        <v>9</v>
      </c>
    </row>
    <row r="2" spans="1:25" ht="132.75" customHeight="1" thickTop="1" x14ac:dyDescent="0.3">
      <c r="A2" s="40"/>
      <c r="B2" s="40"/>
      <c r="C2" s="40"/>
      <c r="D2" s="40"/>
      <c r="E2" s="41"/>
      <c r="F2" s="110"/>
      <c r="G2" s="110"/>
      <c r="H2" s="111"/>
      <c r="I2" s="45"/>
      <c r="J2" s="35"/>
      <c r="K2" s="36"/>
      <c r="L2" s="36"/>
      <c r="M2" s="36"/>
      <c r="N2" s="36"/>
      <c r="O2" s="38"/>
      <c r="P2" s="38"/>
      <c r="Q2" s="39"/>
    </row>
    <row r="3" spans="1:25" ht="28.8" x14ac:dyDescent="0.3">
      <c r="A3" s="6" t="s">
        <v>0</v>
      </c>
      <c r="B3" s="6" t="s">
        <v>73</v>
      </c>
      <c r="C3" s="6" t="s">
        <v>78</v>
      </c>
      <c r="D3" s="6" t="s">
        <v>5</v>
      </c>
      <c r="E3" s="6" t="s">
        <v>6</v>
      </c>
      <c r="F3" s="112" t="s">
        <v>74</v>
      </c>
      <c r="G3" s="11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33" t="s">
        <v>76</v>
      </c>
      <c r="B4" s="101">
        <v>46207</v>
      </c>
      <c r="C4" s="113" t="s">
        <v>93</v>
      </c>
      <c r="D4" s="113" t="s">
        <v>9</v>
      </c>
      <c r="E4" s="113" t="s">
        <v>9</v>
      </c>
      <c r="F4" s="105"/>
      <c r="G4" s="105"/>
      <c r="H4" s="107" t="str">
        <f>IF(F4="","-",IF(F4&gt;G4,"L",IF(F4=G4,"E",IF(F4&lt;G4,"V"))))</f>
        <v>-</v>
      </c>
      <c r="I4" s="46"/>
      <c r="J4" s="17"/>
      <c r="K4" s="17"/>
      <c r="L4" s="17"/>
      <c r="M4" s="17"/>
      <c r="N4" s="17"/>
      <c r="O4" s="17"/>
      <c r="P4" s="17"/>
      <c r="Q4" s="22"/>
    </row>
    <row r="5" spans="1:25" ht="12.75" customHeight="1" x14ac:dyDescent="0.3">
      <c r="A5" s="134"/>
      <c r="B5" s="102"/>
      <c r="C5" s="114"/>
      <c r="D5" s="114"/>
      <c r="E5" s="114"/>
      <c r="F5" s="106"/>
      <c r="G5" s="106"/>
      <c r="H5" s="108"/>
      <c r="I5" s="23" t="s">
        <v>9</v>
      </c>
      <c r="J5" s="18" t="s">
        <v>9</v>
      </c>
      <c r="K5" s="18" t="s">
        <v>9</v>
      </c>
      <c r="L5" s="18" t="s">
        <v>9</v>
      </c>
      <c r="M5" s="18" t="s">
        <v>9</v>
      </c>
      <c r="N5" s="18" t="s">
        <v>9</v>
      </c>
      <c r="O5" s="18" t="s">
        <v>9</v>
      </c>
      <c r="P5" s="18" t="s">
        <v>9</v>
      </c>
      <c r="Q5" s="24" t="s">
        <v>9</v>
      </c>
      <c r="X5" s="47" t="s">
        <v>7</v>
      </c>
      <c r="Y5" s="48" t="s">
        <v>9</v>
      </c>
    </row>
    <row r="6" spans="1:25" ht="12.75" customHeight="1" x14ac:dyDescent="0.3">
      <c r="A6" s="134"/>
      <c r="B6" s="101">
        <v>46207</v>
      </c>
      <c r="C6" s="113" t="s">
        <v>86</v>
      </c>
      <c r="D6" s="113" t="s">
        <v>9</v>
      </c>
      <c r="E6" s="113" t="s">
        <v>9</v>
      </c>
      <c r="F6" s="105"/>
      <c r="G6" s="105"/>
      <c r="H6" s="107" t="str">
        <f t="shared" ref="H6:H18" si="0">IF(F6="","-",IF(F6&gt;G6,"L",IF(F6=G6,"E",IF(F6&lt;G6,"V"))))</f>
        <v>-</v>
      </c>
      <c r="I6" s="26"/>
      <c r="J6" s="13"/>
      <c r="K6" s="13"/>
      <c r="L6" s="13"/>
      <c r="M6" s="13"/>
      <c r="N6" s="13"/>
      <c r="O6" s="13"/>
      <c r="P6" s="13"/>
      <c r="Q6" s="25"/>
      <c r="X6" s="49" t="s">
        <v>16</v>
      </c>
      <c r="Y6" s="50">
        <v>0</v>
      </c>
    </row>
    <row r="7" spans="1:25" ht="12.75" customHeight="1" x14ac:dyDescent="0.3">
      <c r="A7" s="134"/>
      <c r="B7" s="102"/>
      <c r="C7" s="114"/>
      <c r="D7" s="114"/>
      <c r="E7" s="114"/>
      <c r="F7" s="106"/>
      <c r="G7" s="106"/>
      <c r="H7" s="108"/>
      <c r="I7" s="26" t="s">
        <v>9</v>
      </c>
      <c r="J7" s="13" t="s">
        <v>9</v>
      </c>
      <c r="K7" s="13" t="s">
        <v>9</v>
      </c>
      <c r="L7" s="13" t="s">
        <v>9</v>
      </c>
      <c r="M7" s="13" t="s">
        <v>9</v>
      </c>
      <c r="N7" s="13" t="s">
        <v>9</v>
      </c>
      <c r="O7" s="13" t="s">
        <v>9</v>
      </c>
      <c r="P7" s="13" t="s">
        <v>9</v>
      </c>
      <c r="Q7" s="25" t="s">
        <v>9</v>
      </c>
      <c r="X7" s="49" t="s">
        <v>15</v>
      </c>
      <c r="Y7" s="50">
        <v>1</v>
      </c>
    </row>
    <row r="8" spans="1:25" ht="12.75" customHeight="1" x14ac:dyDescent="0.3">
      <c r="A8" s="134"/>
      <c r="B8" s="101">
        <v>46209</v>
      </c>
      <c r="C8" s="113" t="s">
        <v>87</v>
      </c>
      <c r="D8" s="113" t="s">
        <v>9</v>
      </c>
      <c r="E8" s="113" t="s">
        <v>9</v>
      </c>
      <c r="F8" s="105"/>
      <c r="G8" s="105"/>
      <c r="H8" s="107" t="str">
        <f t="shared" si="0"/>
        <v>-</v>
      </c>
      <c r="I8" s="23"/>
      <c r="J8" s="18"/>
      <c r="K8" s="18"/>
      <c r="L8" s="18"/>
      <c r="M8" s="18"/>
      <c r="N8" s="18"/>
      <c r="O8" s="18"/>
      <c r="P8" s="18"/>
      <c r="Q8" s="24"/>
      <c r="X8" s="49"/>
      <c r="Y8" s="50">
        <v>2</v>
      </c>
    </row>
    <row r="9" spans="1:25" ht="12.75" customHeight="1" x14ac:dyDescent="0.3">
      <c r="A9" s="134"/>
      <c r="B9" s="102"/>
      <c r="C9" s="114"/>
      <c r="D9" s="114"/>
      <c r="E9" s="114"/>
      <c r="F9" s="106"/>
      <c r="G9" s="106"/>
      <c r="H9" s="108"/>
      <c r="I9" s="23" t="s">
        <v>9</v>
      </c>
      <c r="J9" s="18" t="s">
        <v>9</v>
      </c>
      <c r="K9" s="18" t="s">
        <v>9</v>
      </c>
      <c r="L9" s="18" t="s">
        <v>9</v>
      </c>
      <c r="M9" s="18" t="s">
        <v>9</v>
      </c>
      <c r="N9" s="18" t="s">
        <v>9</v>
      </c>
      <c r="O9" s="18" t="s">
        <v>9</v>
      </c>
      <c r="P9" s="18" t="s">
        <v>9</v>
      </c>
      <c r="Q9" s="24" t="s">
        <v>9</v>
      </c>
      <c r="X9" s="49"/>
      <c r="Y9" s="50">
        <v>3</v>
      </c>
    </row>
    <row r="10" spans="1:25" ht="12.75" customHeight="1" x14ac:dyDescent="0.3">
      <c r="A10" s="134"/>
      <c r="B10" s="101">
        <v>46209</v>
      </c>
      <c r="C10" s="113" t="s">
        <v>85</v>
      </c>
      <c r="D10" s="113" t="s">
        <v>9</v>
      </c>
      <c r="E10" s="113" t="s">
        <v>9</v>
      </c>
      <c r="F10" s="105"/>
      <c r="G10" s="105"/>
      <c r="H10" s="107" t="str">
        <f t="shared" si="0"/>
        <v>-</v>
      </c>
      <c r="I10" s="26"/>
      <c r="J10" s="13"/>
      <c r="K10" s="13"/>
      <c r="L10" s="13"/>
      <c r="M10" s="13"/>
      <c r="N10" s="13"/>
      <c r="O10" s="13"/>
      <c r="P10" s="13"/>
      <c r="Q10" s="25"/>
      <c r="X10" s="49"/>
      <c r="Y10" s="50">
        <v>4</v>
      </c>
    </row>
    <row r="11" spans="1:25" ht="12.75" customHeight="1" x14ac:dyDescent="0.3">
      <c r="A11" s="134"/>
      <c r="B11" s="102"/>
      <c r="C11" s="114"/>
      <c r="D11" s="114"/>
      <c r="E11" s="114"/>
      <c r="F11" s="106"/>
      <c r="G11" s="106"/>
      <c r="H11" s="108"/>
      <c r="I11" s="26" t="s">
        <v>9</v>
      </c>
      <c r="J11" s="13" t="s">
        <v>9</v>
      </c>
      <c r="K11" s="13" t="s">
        <v>9</v>
      </c>
      <c r="L11" s="13" t="s">
        <v>9</v>
      </c>
      <c r="M11" s="13" t="s">
        <v>9</v>
      </c>
      <c r="N11" s="13" t="s">
        <v>9</v>
      </c>
      <c r="O11" s="13" t="s">
        <v>9</v>
      </c>
      <c r="P11" s="13" t="s">
        <v>9</v>
      </c>
      <c r="Q11" s="25" t="s">
        <v>9</v>
      </c>
      <c r="X11" s="49"/>
      <c r="Y11" s="50">
        <v>5</v>
      </c>
    </row>
    <row r="12" spans="1:25" ht="12.75" customHeight="1" x14ac:dyDescent="0.3">
      <c r="A12" s="133" t="s">
        <v>77</v>
      </c>
      <c r="B12" s="117">
        <v>46208</v>
      </c>
      <c r="C12" s="124" t="s">
        <v>80</v>
      </c>
      <c r="D12" s="124" t="s">
        <v>9</v>
      </c>
      <c r="E12" s="124" t="s">
        <v>9</v>
      </c>
      <c r="F12" s="122"/>
      <c r="G12" s="122"/>
      <c r="H12" s="115" t="str">
        <f t="shared" si="0"/>
        <v>-</v>
      </c>
      <c r="I12" s="27"/>
      <c r="J12" s="19"/>
      <c r="K12" s="19"/>
      <c r="L12" s="19"/>
      <c r="M12" s="19"/>
      <c r="N12" s="19"/>
      <c r="O12" s="19"/>
      <c r="P12" s="19"/>
      <c r="Q12" s="28"/>
    </row>
    <row r="13" spans="1:25" ht="12.75" customHeight="1" x14ac:dyDescent="0.3">
      <c r="A13" s="134"/>
      <c r="B13" s="118"/>
      <c r="C13" s="125"/>
      <c r="D13" s="125"/>
      <c r="E13" s="125"/>
      <c r="F13" s="123"/>
      <c r="G13" s="123"/>
      <c r="H13" s="116"/>
      <c r="I13" s="27" t="s">
        <v>9</v>
      </c>
      <c r="J13" s="19" t="s">
        <v>9</v>
      </c>
      <c r="K13" s="19" t="s">
        <v>9</v>
      </c>
      <c r="L13" s="19" t="s">
        <v>9</v>
      </c>
      <c r="M13" s="19" t="s">
        <v>9</v>
      </c>
      <c r="N13" s="19" t="s">
        <v>9</v>
      </c>
      <c r="O13" s="19" t="s">
        <v>9</v>
      </c>
      <c r="P13" s="19" t="s">
        <v>9</v>
      </c>
      <c r="Q13" s="28" t="s">
        <v>9</v>
      </c>
    </row>
    <row r="14" spans="1:25" ht="12.75" customHeight="1" x14ac:dyDescent="0.3">
      <c r="A14" s="134"/>
      <c r="B14" s="117">
        <v>46208</v>
      </c>
      <c r="C14" s="124" t="s">
        <v>88</v>
      </c>
      <c r="D14" s="124" t="s">
        <v>9</v>
      </c>
      <c r="E14" s="169" t="s">
        <v>9</v>
      </c>
      <c r="F14" s="122"/>
      <c r="G14" s="122"/>
      <c r="H14" s="115" t="str">
        <f t="shared" si="0"/>
        <v>-</v>
      </c>
      <c r="I14" s="26"/>
      <c r="J14" s="13"/>
      <c r="K14" s="13"/>
      <c r="L14" s="13"/>
      <c r="M14" s="13"/>
      <c r="N14" s="13"/>
      <c r="O14" s="13"/>
      <c r="P14" s="13"/>
      <c r="Q14" s="25"/>
    </row>
    <row r="15" spans="1:25" ht="12.75" customHeight="1" x14ac:dyDescent="0.3">
      <c r="A15" s="134"/>
      <c r="B15" s="118"/>
      <c r="C15" s="125"/>
      <c r="D15" s="125"/>
      <c r="E15" s="170"/>
      <c r="F15" s="123"/>
      <c r="G15" s="123"/>
      <c r="H15" s="116"/>
      <c r="I15" s="26" t="s">
        <v>9</v>
      </c>
      <c r="J15" s="13" t="s">
        <v>9</v>
      </c>
      <c r="K15" s="13" t="s">
        <v>9</v>
      </c>
      <c r="L15" s="13" t="s">
        <v>9</v>
      </c>
      <c r="M15" s="13" t="s">
        <v>9</v>
      </c>
      <c r="N15" s="13" t="s">
        <v>9</v>
      </c>
      <c r="O15" s="13" t="s">
        <v>9</v>
      </c>
      <c r="P15" s="13" t="s">
        <v>9</v>
      </c>
      <c r="Q15" s="25" t="s">
        <v>9</v>
      </c>
    </row>
    <row r="16" spans="1:25" ht="12.75" customHeight="1" x14ac:dyDescent="0.3">
      <c r="A16" s="134"/>
      <c r="B16" s="117">
        <v>46210</v>
      </c>
      <c r="C16" s="124" t="s">
        <v>89</v>
      </c>
      <c r="D16" s="124" t="s">
        <v>9</v>
      </c>
      <c r="E16" s="169" t="s">
        <v>9</v>
      </c>
      <c r="F16" s="122"/>
      <c r="G16" s="122"/>
      <c r="H16" s="115" t="str">
        <f t="shared" si="0"/>
        <v>-</v>
      </c>
      <c r="I16" s="27"/>
      <c r="J16" s="19"/>
      <c r="K16" s="19"/>
      <c r="L16" s="19"/>
      <c r="M16" s="19"/>
      <c r="N16" s="19"/>
      <c r="O16" s="19"/>
      <c r="P16" s="19"/>
      <c r="Q16" s="28"/>
    </row>
    <row r="17" spans="1:17" ht="12.75" customHeight="1" x14ac:dyDescent="0.3">
      <c r="A17" s="134"/>
      <c r="B17" s="118"/>
      <c r="C17" s="125"/>
      <c r="D17" s="125"/>
      <c r="E17" s="170"/>
      <c r="F17" s="123"/>
      <c r="G17" s="123"/>
      <c r="H17" s="116"/>
      <c r="I17" s="27" t="s">
        <v>9</v>
      </c>
      <c r="J17" s="19" t="s">
        <v>9</v>
      </c>
      <c r="K17" s="19" t="s">
        <v>9</v>
      </c>
      <c r="L17" s="19" t="s">
        <v>9</v>
      </c>
      <c r="M17" s="19" t="s">
        <v>9</v>
      </c>
      <c r="N17" s="19" t="s">
        <v>9</v>
      </c>
      <c r="O17" s="19" t="s">
        <v>9</v>
      </c>
      <c r="P17" s="19" t="s">
        <v>9</v>
      </c>
      <c r="Q17" s="28" t="s">
        <v>9</v>
      </c>
    </row>
    <row r="18" spans="1:17" ht="12.75" customHeight="1" x14ac:dyDescent="0.3">
      <c r="A18" s="134"/>
      <c r="B18" s="117">
        <v>46210</v>
      </c>
      <c r="C18" s="124" t="s">
        <v>91</v>
      </c>
      <c r="D18" s="124" t="s">
        <v>9</v>
      </c>
      <c r="E18" s="124" t="s">
        <v>9</v>
      </c>
      <c r="F18" s="122"/>
      <c r="G18" s="122"/>
      <c r="H18" s="115" t="str">
        <f t="shared" si="0"/>
        <v>-</v>
      </c>
      <c r="I18" s="26"/>
      <c r="J18" s="13"/>
      <c r="K18" s="13"/>
      <c r="L18" s="13"/>
      <c r="M18" s="13"/>
      <c r="N18" s="13"/>
      <c r="O18" s="13"/>
      <c r="P18" s="13"/>
      <c r="Q18" s="25"/>
    </row>
    <row r="19" spans="1:17" ht="12.75" customHeight="1" x14ac:dyDescent="0.3">
      <c r="A19" s="135"/>
      <c r="B19" s="118"/>
      <c r="C19" s="125"/>
      <c r="D19" s="125"/>
      <c r="E19" s="125"/>
      <c r="F19" s="123"/>
      <c r="G19" s="123"/>
      <c r="H19" s="116"/>
      <c r="I19" s="26" t="s">
        <v>9</v>
      </c>
      <c r="J19" s="13" t="s">
        <v>9</v>
      </c>
      <c r="K19" s="13" t="s">
        <v>9</v>
      </c>
      <c r="L19" s="13" t="s">
        <v>9</v>
      </c>
      <c r="M19" s="13" t="s">
        <v>9</v>
      </c>
      <c r="N19" s="13" t="s">
        <v>9</v>
      </c>
      <c r="O19" s="13" t="s">
        <v>9</v>
      </c>
      <c r="P19" s="13" t="s">
        <v>9</v>
      </c>
      <c r="Q19" s="25" t="s">
        <v>9</v>
      </c>
    </row>
    <row r="20" spans="1:17" ht="12.75" customHeight="1" x14ac:dyDescent="0.3">
      <c r="E20" s="130" t="s">
        <v>10</v>
      </c>
      <c r="F20" s="130"/>
      <c r="G20" s="13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1" t="s">
        <v>14</v>
      </c>
      <c r="F21" s="131"/>
      <c r="G21" s="131"/>
      <c r="H21" s="131"/>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32"/>
      <c r="E26" s="132"/>
      <c r="F26" s="132"/>
      <c r="G26" s="132"/>
    </row>
    <row r="27" spans="1:17" ht="24" customHeight="1" x14ac:dyDescent="0.3">
      <c r="D27" s="132"/>
      <c r="E27" s="132"/>
      <c r="F27" s="132"/>
      <c r="G27" s="132"/>
    </row>
    <row r="28" spans="1:17" ht="24" customHeight="1" x14ac:dyDescent="0.3">
      <c r="D28" s="132"/>
      <c r="E28" s="132"/>
      <c r="F28" s="132"/>
      <c r="G28" s="13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09" t="s">
        <v>28</v>
      </c>
      <c r="B1" s="109"/>
      <c r="C1" s="109"/>
      <c r="D1" s="109"/>
      <c r="E1" s="109"/>
      <c r="F1" s="109"/>
      <c r="G1" s="109"/>
      <c r="H1" s="109"/>
      <c r="I1" s="44">
        <v>1</v>
      </c>
      <c r="J1" s="34">
        <v>2</v>
      </c>
      <c r="K1" s="34">
        <v>3</v>
      </c>
      <c r="L1" s="34">
        <v>4</v>
      </c>
      <c r="M1" s="37">
        <v>5</v>
      </c>
      <c r="N1" s="37">
        <v>6</v>
      </c>
    </row>
    <row r="2" spans="1:22" ht="132.75" customHeight="1" thickTop="1" x14ac:dyDescent="0.3">
      <c r="A2" s="40"/>
      <c r="B2" s="40"/>
      <c r="C2" s="40"/>
      <c r="D2" s="40"/>
      <c r="E2" s="41"/>
      <c r="F2" s="110"/>
      <c r="G2" s="110"/>
      <c r="H2" s="111"/>
      <c r="I2" s="45"/>
      <c r="J2" s="35"/>
      <c r="K2" s="36"/>
      <c r="L2" s="36"/>
      <c r="M2" s="38"/>
      <c r="N2" s="39"/>
    </row>
    <row r="3" spans="1:22" ht="28.8" x14ac:dyDescent="0.3">
      <c r="A3" s="6" t="s">
        <v>0</v>
      </c>
      <c r="B3" s="6" t="s">
        <v>73</v>
      </c>
      <c r="C3" s="6" t="s">
        <v>78</v>
      </c>
      <c r="D3" s="6" t="s">
        <v>5</v>
      </c>
      <c r="E3" s="6" t="s">
        <v>6</v>
      </c>
      <c r="F3" s="112" t="s">
        <v>74</v>
      </c>
      <c r="G3" s="11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33" t="s">
        <v>76</v>
      </c>
      <c r="B4" s="101">
        <v>46212</v>
      </c>
      <c r="C4" s="113" t="s">
        <v>79</v>
      </c>
      <c r="D4" s="113" t="s">
        <v>9</v>
      </c>
      <c r="E4" s="113" t="s">
        <v>9</v>
      </c>
      <c r="F4" s="105"/>
      <c r="G4" s="105"/>
      <c r="H4" s="107" t="str">
        <f>IF(F4="","-",IF(F4&gt;G4,"L",IF(F4=G4,"E",IF(F4&lt;G4,"V"))))</f>
        <v>-</v>
      </c>
      <c r="I4" s="46"/>
      <c r="J4" s="17"/>
      <c r="K4" s="17"/>
      <c r="L4" s="17"/>
      <c r="M4" s="17"/>
      <c r="N4" s="22"/>
    </row>
    <row r="5" spans="1:22" ht="12.75" customHeight="1" x14ac:dyDescent="0.3">
      <c r="A5" s="134"/>
      <c r="B5" s="102"/>
      <c r="C5" s="114"/>
      <c r="D5" s="114"/>
      <c r="E5" s="114"/>
      <c r="F5" s="106"/>
      <c r="G5" s="106"/>
      <c r="H5" s="108"/>
      <c r="I5" s="23" t="s">
        <v>9</v>
      </c>
      <c r="J5" s="18" t="s">
        <v>9</v>
      </c>
      <c r="K5" s="18" t="s">
        <v>9</v>
      </c>
      <c r="L5" s="18" t="s">
        <v>9</v>
      </c>
      <c r="M5" s="18" t="s">
        <v>9</v>
      </c>
      <c r="N5" s="24" t="s">
        <v>9</v>
      </c>
      <c r="U5" s="47" t="s">
        <v>7</v>
      </c>
      <c r="V5" s="48" t="s">
        <v>9</v>
      </c>
    </row>
    <row r="6" spans="1:22" ht="12.75" customHeight="1" x14ac:dyDescent="0.3">
      <c r="A6" s="134"/>
      <c r="B6" s="101">
        <v>46213</v>
      </c>
      <c r="C6" s="113" t="s">
        <v>81</v>
      </c>
      <c r="D6" s="113" t="s">
        <v>9</v>
      </c>
      <c r="E6" s="113" t="s">
        <v>9</v>
      </c>
      <c r="F6" s="105"/>
      <c r="G6" s="105"/>
      <c r="H6" s="107" t="str">
        <f t="shared" ref="H6:H10" si="1">IF(F6="","-",IF(F6&gt;G6,"L",IF(F6=G6,"E",IF(F6&lt;G6,"V"))))</f>
        <v>-</v>
      </c>
      <c r="I6" s="26"/>
      <c r="J6" s="13"/>
      <c r="K6" s="13"/>
      <c r="L6" s="13"/>
      <c r="M6" s="13"/>
      <c r="N6" s="25"/>
      <c r="U6" s="49" t="s">
        <v>16</v>
      </c>
      <c r="V6" s="50">
        <v>0</v>
      </c>
    </row>
    <row r="7" spans="1:22" ht="12.75" customHeight="1" x14ac:dyDescent="0.3">
      <c r="A7" s="134"/>
      <c r="B7" s="102"/>
      <c r="C7" s="114"/>
      <c r="D7" s="114"/>
      <c r="E7" s="114"/>
      <c r="F7" s="106"/>
      <c r="G7" s="106"/>
      <c r="H7" s="108"/>
      <c r="I7" s="26" t="s">
        <v>9</v>
      </c>
      <c r="J7" s="13" t="s">
        <v>9</v>
      </c>
      <c r="K7" s="13" t="s">
        <v>9</v>
      </c>
      <c r="L7" s="13" t="s">
        <v>9</v>
      </c>
      <c r="M7" s="13" t="s">
        <v>9</v>
      </c>
      <c r="N7" s="25" t="s">
        <v>9</v>
      </c>
      <c r="U7" s="49" t="s">
        <v>15</v>
      </c>
      <c r="V7" s="50">
        <v>1</v>
      </c>
    </row>
    <row r="8" spans="1:22" ht="12.75" customHeight="1" x14ac:dyDescent="0.3">
      <c r="A8" s="133" t="s">
        <v>77</v>
      </c>
      <c r="B8" s="117">
        <v>46214</v>
      </c>
      <c r="C8" s="124" t="s">
        <v>90</v>
      </c>
      <c r="D8" s="124" t="s">
        <v>9</v>
      </c>
      <c r="E8" s="124" t="s">
        <v>9</v>
      </c>
      <c r="F8" s="122"/>
      <c r="G8" s="122"/>
      <c r="H8" s="115" t="str">
        <f t="shared" si="1"/>
        <v>-</v>
      </c>
      <c r="I8" s="27"/>
      <c r="J8" s="19"/>
      <c r="K8" s="19"/>
      <c r="L8" s="19"/>
      <c r="M8" s="19"/>
      <c r="N8" s="28"/>
    </row>
    <row r="9" spans="1:22" ht="12.75" customHeight="1" x14ac:dyDescent="0.3">
      <c r="A9" s="134"/>
      <c r="B9" s="118"/>
      <c r="C9" s="125"/>
      <c r="D9" s="125"/>
      <c r="E9" s="125"/>
      <c r="F9" s="123"/>
      <c r="G9" s="123"/>
      <c r="H9" s="116"/>
      <c r="I9" s="27" t="s">
        <v>9</v>
      </c>
      <c r="J9" s="19" t="s">
        <v>9</v>
      </c>
      <c r="K9" s="19" t="s">
        <v>9</v>
      </c>
      <c r="L9" s="19" t="s">
        <v>9</v>
      </c>
      <c r="M9" s="19" t="s">
        <v>9</v>
      </c>
      <c r="N9" s="28" t="s">
        <v>9</v>
      </c>
    </row>
    <row r="10" spans="1:22" ht="12.75" customHeight="1" x14ac:dyDescent="0.3">
      <c r="A10" s="134"/>
      <c r="B10" s="117">
        <v>46214</v>
      </c>
      <c r="C10" s="124" t="s">
        <v>92</v>
      </c>
      <c r="D10" s="124" t="s">
        <v>9</v>
      </c>
      <c r="E10" s="169" t="s">
        <v>9</v>
      </c>
      <c r="F10" s="122"/>
      <c r="G10" s="122"/>
      <c r="H10" s="115" t="str">
        <f t="shared" si="1"/>
        <v>-</v>
      </c>
      <c r="I10" s="26"/>
      <c r="J10" s="13"/>
      <c r="K10" s="13"/>
      <c r="L10" s="13"/>
      <c r="M10" s="13"/>
      <c r="N10" s="25"/>
    </row>
    <row r="11" spans="1:22" ht="12.75" customHeight="1" x14ac:dyDescent="0.3">
      <c r="A11" s="135"/>
      <c r="B11" s="118"/>
      <c r="C11" s="125"/>
      <c r="D11" s="125"/>
      <c r="E11" s="170"/>
      <c r="F11" s="123"/>
      <c r="G11" s="123"/>
      <c r="H11" s="116"/>
      <c r="I11" s="26" t="s">
        <v>9</v>
      </c>
      <c r="J11" s="13" t="s">
        <v>9</v>
      </c>
      <c r="K11" s="13" t="s">
        <v>9</v>
      </c>
      <c r="L11" s="13" t="s">
        <v>9</v>
      </c>
      <c r="M11" s="13" t="s">
        <v>9</v>
      </c>
      <c r="N11" s="25" t="s">
        <v>9</v>
      </c>
    </row>
    <row r="12" spans="1:22" ht="12.75" customHeight="1" x14ac:dyDescent="0.3">
      <c r="E12" s="130" t="s">
        <v>10</v>
      </c>
      <c r="F12" s="130"/>
      <c r="G12" s="13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1" t="s">
        <v>14</v>
      </c>
      <c r="F13" s="131"/>
      <c r="G13" s="131"/>
      <c r="H13" s="131"/>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32"/>
      <c r="E18" s="132"/>
      <c r="F18" s="132"/>
      <c r="G18" s="132"/>
    </row>
    <row r="19" spans="4:14" ht="24" customHeight="1" x14ac:dyDescent="0.3">
      <c r="D19" s="132"/>
      <c r="E19" s="132"/>
      <c r="F19" s="132"/>
      <c r="G19" s="132"/>
    </row>
    <row r="20" spans="4:14" ht="24" customHeight="1" x14ac:dyDescent="0.3">
      <c r="D20" s="132"/>
      <c r="E20" s="132"/>
      <c r="F20" s="132"/>
      <c r="G20" s="13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B8" sqref="B8:C1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09" t="s">
        <v>28</v>
      </c>
      <c r="B1" s="109"/>
      <c r="C1" s="109"/>
      <c r="D1" s="109"/>
      <c r="E1" s="109"/>
      <c r="F1" s="109"/>
      <c r="G1" s="109"/>
      <c r="H1" s="109"/>
      <c r="I1" s="44">
        <v>1</v>
      </c>
      <c r="J1" s="34">
        <v>2</v>
      </c>
      <c r="K1" s="34">
        <v>3</v>
      </c>
      <c r="L1" s="34">
        <v>4</v>
      </c>
    </row>
    <row r="2" spans="1:20" ht="132.75" customHeight="1" thickTop="1" x14ac:dyDescent="0.3">
      <c r="A2" s="40"/>
      <c r="B2" s="40"/>
      <c r="C2" s="40"/>
      <c r="D2" s="40"/>
      <c r="E2" s="41"/>
      <c r="F2" s="110"/>
      <c r="G2" s="110"/>
      <c r="H2" s="111"/>
      <c r="I2" s="45"/>
      <c r="J2" s="42"/>
      <c r="K2" s="38"/>
      <c r="L2" s="39"/>
    </row>
    <row r="3" spans="1:20" ht="28.8" x14ac:dyDescent="0.3">
      <c r="A3" s="6" t="s">
        <v>0</v>
      </c>
      <c r="B3" s="6" t="s">
        <v>73</v>
      </c>
      <c r="C3" s="6" t="s">
        <v>78</v>
      </c>
      <c r="D3" s="6" t="s">
        <v>5</v>
      </c>
      <c r="E3" s="6" t="s">
        <v>6</v>
      </c>
      <c r="F3" s="112" t="s">
        <v>74</v>
      </c>
      <c r="G3" s="11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33" t="s">
        <v>94</v>
      </c>
      <c r="B4" s="101">
        <v>46217</v>
      </c>
      <c r="C4" s="113" t="s">
        <v>87</v>
      </c>
      <c r="D4" s="113" t="s">
        <v>9</v>
      </c>
      <c r="E4" s="113" t="s">
        <v>9</v>
      </c>
      <c r="F4" s="105"/>
      <c r="G4" s="105"/>
      <c r="H4" s="107" t="str">
        <f>IF(F4="","-",IF(F4&gt;G4,"L",IF(F4=G4,"E",IF(F4&lt;G4,"V"))))</f>
        <v>-</v>
      </c>
      <c r="I4" s="46"/>
      <c r="J4" s="17"/>
      <c r="K4" s="17"/>
      <c r="L4" s="22"/>
    </row>
    <row r="5" spans="1:20" ht="12.75" customHeight="1" x14ac:dyDescent="0.3">
      <c r="A5" s="134"/>
      <c r="B5" s="102"/>
      <c r="C5" s="114"/>
      <c r="D5" s="114"/>
      <c r="E5" s="114"/>
      <c r="F5" s="106"/>
      <c r="G5" s="106"/>
      <c r="H5" s="108"/>
      <c r="I5" s="23" t="s">
        <v>9</v>
      </c>
      <c r="J5" s="18" t="s">
        <v>9</v>
      </c>
      <c r="K5" s="18" t="s">
        <v>9</v>
      </c>
      <c r="L5" s="24" t="s">
        <v>9</v>
      </c>
      <c r="S5" s="47" t="s">
        <v>7</v>
      </c>
      <c r="T5" s="48" t="s">
        <v>9</v>
      </c>
    </row>
    <row r="6" spans="1:20" ht="12.75" customHeight="1" x14ac:dyDescent="0.3">
      <c r="A6" s="134"/>
      <c r="B6" s="101">
        <v>46218</v>
      </c>
      <c r="C6" s="113" t="s">
        <v>89</v>
      </c>
      <c r="D6" s="113" t="s">
        <v>9</v>
      </c>
      <c r="E6" s="113" t="s">
        <v>9</v>
      </c>
      <c r="F6" s="105"/>
      <c r="G6" s="105"/>
      <c r="H6" s="107" t="str">
        <f t="shared" ref="H6:H10" si="1">IF(F6="","-",IF(F6&gt;G6,"L",IF(F6=G6,"E",IF(F6&lt;G6,"V"))))</f>
        <v>-</v>
      </c>
      <c r="I6" s="26"/>
      <c r="J6" s="13"/>
      <c r="K6" s="13"/>
      <c r="L6" s="25"/>
      <c r="S6" s="49" t="s">
        <v>16</v>
      </c>
      <c r="T6" s="50">
        <v>0</v>
      </c>
    </row>
    <row r="7" spans="1:20" ht="12.75" customHeight="1" x14ac:dyDescent="0.3">
      <c r="A7" s="134"/>
      <c r="B7" s="102"/>
      <c r="C7" s="114"/>
      <c r="D7" s="114"/>
      <c r="E7" s="114"/>
      <c r="F7" s="106"/>
      <c r="G7" s="106"/>
      <c r="H7" s="108"/>
      <c r="I7" s="26" t="s">
        <v>9</v>
      </c>
      <c r="J7" s="13" t="s">
        <v>9</v>
      </c>
      <c r="K7" s="13" t="s">
        <v>9</v>
      </c>
      <c r="L7" s="25" t="s">
        <v>9</v>
      </c>
      <c r="S7" s="49" t="s">
        <v>15</v>
      </c>
      <c r="T7" s="50">
        <v>1</v>
      </c>
    </row>
    <row r="8" spans="1:20" ht="12.75" customHeight="1" x14ac:dyDescent="0.3">
      <c r="A8" s="171" t="s">
        <v>95</v>
      </c>
      <c r="B8" s="117">
        <v>46221</v>
      </c>
      <c r="C8" s="124" t="s">
        <v>90</v>
      </c>
      <c r="D8" s="124" t="s">
        <v>9</v>
      </c>
      <c r="E8" s="124" t="s">
        <v>9</v>
      </c>
      <c r="F8" s="122"/>
      <c r="G8" s="122"/>
      <c r="H8" s="115" t="str">
        <f t="shared" si="1"/>
        <v>-</v>
      </c>
      <c r="I8" s="27"/>
      <c r="J8" s="19"/>
      <c r="K8" s="19"/>
      <c r="L8" s="28"/>
    </row>
    <row r="9" spans="1:20" ht="12.75" customHeight="1" x14ac:dyDescent="0.3">
      <c r="A9" s="171"/>
      <c r="B9" s="118"/>
      <c r="C9" s="125"/>
      <c r="D9" s="125"/>
      <c r="E9" s="125"/>
      <c r="F9" s="123"/>
      <c r="G9" s="123"/>
      <c r="H9" s="116"/>
      <c r="I9" s="27" t="s">
        <v>9</v>
      </c>
      <c r="J9" s="19" t="s">
        <v>9</v>
      </c>
      <c r="K9" s="19" t="s">
        <v>9</v>
      </c>
      <c r="L9" s="28" t="s">
        <v>9</v>
      </c>
    </row>
    <row r="10" spans="1:20" ht="12.75" customHeight="1" x14ac:dyDescent="0.3">
      <c r="A10" s="171" t="s">
        <v>25</v>
      </c>
      <c r="B10" s="117">
        <v>46222</v>
      </c>
      <c r="C10" s="124" t="s">
        <v>80</v>
      </c>
      <c r="D10" s="124" t="s">
        <v>9</v>
      </c>
      <c r="E10" s="169" t="s">
        <v>9</v>
      </c>
      <c r="F10" s="122"/>
      <c r="G10" s="122"/>
      <c r="H10" s="115" t="str">
        <f t="shared" si="1"/>
        <v>-</v>
      </c>
      <c r="I10" s="26"/>
      <c r="J10" s="13"/>
      <c r="K10" s="13"/>
      <c r="L10" s="25"/>
    </row>
    <row r="11" spans="1:20" ht="12.75" customHeight="1" x14ac:dyDescent="0.3">
      <c r="A11" s="171"/>
      <c r="B11" s="118"/>
      <c r="C11" s="125"/>
      <c r="D11" s="125"/>
      <c r="E11" s="170"/>
      <c r="F11" s="123"/>
      <c r="G11" s="123"/>
      <c r="H11" s="116"/>
      <c r="I11" s="26" t="s">
        <v>9</v>
      </c>
      <c r="J11" s="13" t="s">
        <v>9</v>
      </c>
      <c r="K11" s="13" t="s">
        <v>9</v>
      </c>
      <c r="L11" s="25" t="s">
        <v>9</v>
      </c>
    </row>
    <row r="12" spans="1:20" ht="12.75" customHeight="1" x14ac:dyDescent="0.3">
      <c r="E12" s="130" t="s">
        <v>10</v>
      </c>
      <c r="F12" s="130"/>
      <c r="G12" s="130"/>
      <c r="H12" s="5">
        <f>SUM(F4:G11)</f>
        <v>0</v>
      </c>
      <c r="I12" s="51">
        <f>SUM(I11,I9,I7,I5)</f>
        <v>0</v>
      </c>
      <c r="J12" s="15">
        <f>SUM(J11,J9,J7,J5)</f>
        <v>0</v>
      </c>
      <c r="K12" s="15">
        <f t="shared" ref="K12:L12" si="2">SUM(K11,K9,K7,K5)</f>
        <v>0</v>
      </c>
      <c r="L12" s="30">
        <f t="shared" si="2"/>
        <v>0</v>
      </c>
    </row>
    <row r="13" spans="1:20" ht="33" customHeight="1" thickBot="1" x14ac:dyDescent="0.35">
      <c r="E13" s="131" t="s">
        <v>14</v>
      </c>
      <c r="F13" s="131"/>
      <c r="G13" s="131"/>
      <c r="H13" s="131"/>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32"/>
      <c r="E18" s="132"/>
      <c r="F18" s="132"/>
      <c r="G18" s="132"/>
    </row>
    <row r="19" spans="4:12" ht="24" customHeight="1" x14ac:dyDescent="0.3">
      <c r="D19" s="132"/>
      <c r="E19" s="132"/>
      <c r="F19" s="132"/>
      <c r="G19" s="132"/>
    </row>
    <row r="20" spans="4:12" ht="24" customHeight="1" x14ac:dyDescent="0.3">
      <c r="D20" s="132"/>
      <c r="E20" s="132"/>
      <c r="F20" s="132"/>
      <c r="G20" s="13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2026-07-02T03:11:08Z</dcterms:modified>
</cp:coreProperties>
</file>